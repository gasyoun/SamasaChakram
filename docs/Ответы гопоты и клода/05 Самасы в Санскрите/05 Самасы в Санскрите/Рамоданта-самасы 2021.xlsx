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200" windowHeight="10890" activeTab="3"/>
  </bookViews>
  <sheets>
    <sheet name="По порядку" sheetId="1" r:id="rId1"/>
    <sheet name="По алфавиту" sheetId="2" r:id="rId2"/>
    <sheet name="По группам" sheetId="3" r:id="rId3"/>
    <sheet name="По группам всего" sheetId="4" r:id="rId4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4" i="2"/>
  <c r="E414"/>
  <c r="D414"/>
  <c r="F413"/>
  <c r="E413"/>
  <c r="D413"/>
  <c r="F412"/>
  <c r="E412"/>
  <c r="D412"/>
  <c r="F411"/>
  <c r="E411"/>
  <c r="D411"/>
  <c r="F410"/>
  <c r="E410"/>
  <c r="D410"/>
  <c r="F409"/>
  <c r="E409"/>
  <c r="D409"/>
  <c r="F408"/>
  <c r="E408"/>
  <c r="D408"/>
  <c r="F407"/>
  <c r="E407"/>
  <c r="D407"/>
  <c r="F406"/>
  <c r="E406"/>
  <c r="D406"/>
  <c r="F405"/>
  <c r="E405"/>
  <c r="D405"/>
  <c r="F404"/>
  <c r="E404"/>
  <c r="D404"/>
  <c r="F403"/>
  <c r="E403"/>
  <c r="D403"/>
  <c r="F402"/>
  <c r="E402"/>
  <c r="D402"/>
  <c r="F401"/>
  <c r="E401"/>
  <c r="D401"/>
  <c r="F400"/>
  <c r="E400"/>
  <c r="D400"/>
  <c r="F399"/>
  <c r="E399"/>
  <c r="D399"/>
  <c r="F398"/>
  <c r="E398"/>
  <c r="D398"/>
  <c r="F397"/>
  <c r="E397"/>
  <c r="D397"/>
  <c r="F396"/>
  <c r="E396"/>
  <c r="D396"/>
  <c r="F395"/>
  <c r="E395"/>
  <c r="D395"/>
  <c r="F394"/>
  <c r="E394"/>
  <c r="D394"/>
  <c r="F393"/>
  <c r="E393"/>
  <c r="D393"/>
  <c r="F392"/>
  <c r="E392"/>
  <c r="D392"/>
  <c r="F391"/>
  <c r="E391"/>
  <c r="D391"/>
  <c r="F390"/>
  <c r="E390"/>
  <c r="D390"/>
  <c r="F389"/>
  <c r="E389"/>
  <c r="D389"/>
  <c r="F388"/>
  <c r="E388"/>
  <c r="D388"/>
  <c r="F387"/>
  <c r="E387"/>
  <c r="D387"/>
  <c r="F386"/>
  <c r="E386"/>
  <c r="D386"/>
  <c r="F385"/>
  <c r="E385"/>
  <c r="D385"/>
  <c r="F384"/>
  <c r="E384"/>
  <c r="D384"/>
  <c r="F383"/>
  <c r="E383"/>
  <c r="D383"/>
  <c r="F382"/>
  <c r="E382"/>
  <c r="D382"/>
  <c r="F381"/>
  <c r="E381"/>
  <c r="D381"/>
  <c r="F380"/>
  <c r="E380"/>
  <c r="D380"/>
  <c r="F379"/>
  <c r="E379"/>
  <c r="D379"/>
  <c r="F378"/>
  <c r="E378"/>
  <c r="D378"/>
  <c r="F377"/>
  <c r="E377"/>
  <c r="D377"/>
  <c r="F376"/>
  <c r="E376"/>
  <c r="D376"/>
  <c r="F375"/>
  <c r="E375"/>
  <c r="D375"/>
  <c r="F374"/>
  <c r="E374"/>
  <c r="D374"/>
  <c r="F373"/>
  <c r="E373"/>
  <c r="D373"/>
  <c r="F372"/>
  <c r="E372"/>
  <c r="D372"/>
  <c r="F371"/>
  <c r="E371"/>
  <c r="D371"/>
  <c r="F370"/>
  <c r="E370"/>
  <c r="D370"/>
  <c r="F369"/>
  <c r="E369"/>
  <c r="D369"/>
  <c r="F368"/>
  <c r="E368"/>
  <c r="D368"/>
  <c r="F367"/>
  <c r="E367"/>
  <c r="D367"/>
  <c r="F366"/>
  <c r="E366"/>
  <c r="D366"/>
  <c r="F365"/>
  <c r="E365"/>
  <c r="D365"/>
  <c r="F364"/>
  <c r="E364"/>
  <c r="D364"/>
  <c r="F363"/>
  <c r="E363"/>
  <c r="D363"/>
  <c r="F362"/>
  <c r="E362"/>
  <c r="D362"/>
  <c r="F361"/>
  <c r="E361"/>
  <c r="D361"/>
  <c r="F360"/>
  <c r="E360"/>
  <c r="D360"/>
  <c r="F359"/>
  <c r="E359"/>
  <c r="D359"/>
  <c r="F358"/>
  <c r="E358"/>
  <c r="D358"/>
  <c r="F357"/>
  <c r="E357"/>
  <c r="D357"/>
  <c r="F356"/>
  <c r="E356"/>
  <c r="D356"/>
  <c r="F355"/>
  <c r="E355"/>
  <c r="D355"/>
  <c r="F354"/>
  <c r="E354"/>
  <c r="D354"/>
  <c r="F353"/>
  <c r="E353"/>
  <c r="D353"/>
  <c r="F352"/>
  <c r="E352"/>
  <c r="D352"/>
  <c r="F351"/>
  <c r="E351"/>
  <c r="D351"/>
  <c r="F350"/>
  <c r="E350"/>
  <c r="D350"/>
  <c r="F349"/>
  <c r="E349"/>
  <c r="D349"/>
  <c r="F348"/>
  <c r="E348"/>
  <c r="D348"/>
  <c r="F347"/>
  <c r="E347"/>
  <c r="D347"/>
  <c r="F346"/>
  <c r="E346"/>
  <c r="D346"/>
  <c r="F345"/>
  <c r="E345"/>
  <c r="D345"/>
  <c r="F344"/>
  <c r="E344"/>
  <c r="D344"/>
  <c r="F343"/>
  <c r="E343"/>
  <c r="D343"/>
  <c r="F342"/>
  <c r="E342"/>
  <c r="D342"/>
  <c r="F341"/>
  <c r="E341"/>
  <c r="D341"/>
  <c r="F340"/>
  <c r="E340"/>
  <c r="D340"/>
  <c r="F339"/>
  <c r="E339"/>
  <c r="D339"/>
  <c r="F338"/>
  <c r="E338"/>
  <c r="D338"/>
  <c r="F337"/>
  <c r="E337"/>
  <c r="D337"/>
  <c r="F336"/>
  <c r="E336"/>
  <c r="D336"/>
  <c r="F335"/>
  <c r="E335"/>
  <c r="D335"/>
  <c r="F334"/>
  <c r="E334"/>
  <c r="D334"/>
  <c r="F333"/>
  <c r="E333"/>
  <c r="D333"/>
  <c r="F332"/>
  <c r="E332"/>
  <c r="D332"/>
  <c r="F331"/>
  <c r="E331"/>
  <c r="D331"/>
  <c r="F330"/>
  <c r="E330"/>
  <c r="D330"/>
  <c r="F329"/>
  <c r="E329"/>
  <c r="D329"/>
  <c r="F328"/>
  <c r="E328"/>
  <c r="D328"/>
  <c r="F327"/>
  <c r="E327"/>
  <c r="D327"/>
  <c r="F326"/>
  <c r="E326"/>
  <c r="D326"/>
  <c r="F325"/>
  <c r="E325"/>
  <c r="D325"/>
  <c r="F324"/>
  <c r="E324"/>
  <c r="D324"/>
  <c r="F323"/>
  <c r="E323"/>
  <c r="D323"/>
  <c r="F322"/>
  <c r="E322"/>
  <c r="D322"/>
  <c r="F321"/>
  <c r="E321"/>
  <c r="D321"/>
  <c r="F320"/>
  <c r="E320"/>
  <c r="D320"/>
  <c r="F319"/>
  <c r="E319"/>
  <c r="D319"/>
  <c r="F318"/>
  <c r="E318"/>
  <c r="D318"/>
  <c r="F317"/>
  <c r="E317"/>
  <c r="D317"/>
  <c r="F316"/>
  <c r="E316"/>
  <c r="D316"/>
  <c r="F315"/>
  <c r="E315"/>
  <c r="D315"/>
  <c r="F314"/>
  <c r="E314"/>
  <c r="D314"/>
  <c r="F313"/>
  <c r="E313"/>
  <c r="D313"/>
  <c r="F312"/>
  <c r="E312"/>
  <c r="D312"/>
  <c r="F311"/>
  <c r="E311"/>
  <c r="D311"/>
  <c r="F310"/>
  <c r="E310"/>
  <c r="D310"/>
  <c r="F309"/>
  <c r="E309"/>
  <c r="D309"/>
  <c r="F308"/>
  <c r="E308"/>
  <c r="D308"/>
  <c r="F307"/>
  <c r="E307"/>
  <c r="D307"/>
  <c r="F306"/>
  <c r="E306"/>
  <c r="D306"/>
  <c r="F305"/>
  <c r="E305"/>
  <c r="D305"/>
  <c r="F304"/>
  <c r="E304"/>
  <c r="D304"/>
  <c r="F303"/>
  <c r="E303"/>
  <c r="D303"/>
  <c r="F302"/>
  <c r="E302"/>
  <c r="D302"/>
  <c r="F301"/>
  <c r="E301"/>
  <c r="D301"/>
  <c r="F300"/>
  <c r="E300"/>
  <c r="D300"/>
  <c r="F299"/>
  <c r="E299"/>
  <c r="D299"/>
  <c r="F298"/>
  <c r="E298"/>
  <c r="D298"/>
  <c r="F297"/>
  <c r="E297"/>
  <c r="D297"/>
  <c r="F296"/>
  <c r="E296"/>
  <c r="D296"/>
  <c r="F295"/>
  <c r="E295"/>
  <c r="D295"/>
  <c r="F294"/>
  <c r="E294"/>
  <c r="D294"/>
  <c r="F293"/>
  <c r="E293"/>
  <c r="D293"/>
  <c r="F292"/>
  <c r="E292"/>
  <c r="D292"/>
  <c r="F291"/>
  <c r="E291"/>
  <c r="D291"/>
  <c r="F290"/>
  <c r="E290"/>
  <c r="D290"/>
  <c r="F289"/>
  <c r="E289"/>
  <c r="D289"/>
  <c r="F288"/>
  <c r="E288"/>
  <c r="D288"/>
  <c r="F287"/>
  <c r="E287"/>
  <c r="D287"/>
  <c r="F286"/>
  <c r="E286"/>
  <c r="D286"/>
  <c r="F285"/>
  <c r="E285"/>
  <c r="D285"/>
  <c r="F284"/>
  <c r="E284"/>
  <c r="D284"/>
  <c r="F283"/>
  <c r="E283"/>
  <c r="D283"/>
  <c r="F282"/>
  <c r="E282"/>
  <c r="D282"/>
  <c r="F281"/>
  <c r="E281"/>
  <c r="D281"/>
  <c r="F280"/>
  <c r="E280"/>
  <c r="D280"/>
  <c r="F279"/>
  <c r="E279"/>
  <c r="D279"/>
  <c r="F278"/>
  <c r="E278"/>
  <c r="D278"/>
  <c r="F277"/>
  <c r="E277"/>
  <c r="D277"/>
  <c r="F276"/>
  <c r="E276"/>
  <c r="D276"/>
  <c r="F275"/>
  <c r="E275"/>
  <c r="D275"/>
  <c r="F274"/>
  <c r="E274"/>
  <c r="D274"/>
  <c r="F273"/>
  <c r="E273"/>
  <c r="D273"/>
  <c r="F272"/>
  <c r="E272"/>
  <c r="D272"/>
  <c r="F271"/>
  <c r="E271"/>
  <c r="D271"/>
  <c r="F270"/>
  <c r="E270"/>
  <c r="D270"/>
  <c r="F269"/>
  <c r="E269"/>
  <c r="D269"/>
  <c r="F268"/>
  <c r="E268"/>
  <c r="D268"/>
  <c r="F267"/>
  <c r="E267"/>
  <c r="D267"/>
  <c r="F266"/>
  <c r="E266"/>
  <c r="D266"/>
  <c r="F265"/>
  <c r="E265"/>
  <c r="D265"/>
  <c r="F264"/>
  <c r="E264"/>
  <c r="D264"/>
  <c r="F263"/>
  <c r="E263"/>
  <c r="D263"/>
  <c r="F262"/>
  <c r="E262"/>
  <c r="D262"/>
  <c r="F261"/>
  <c r="E261"/>
  <c r="D261"/>
  <c r="F260"/>
  <c r="E260"/>
  <c r="D260"/>
  <c r="F259"/>
  <c r="E259"/>
  <c r="D259"/>
  <c r="F258"/>
  <c r="E258"/>
  <c r="D258"/>
  <c r="F257"/>
  <c r="E257"/>
  <c r="D257"/>
  <c r="F256"/>
  <c r="E256"/>
  <c r="D256"/>
  <c r="F255"/>
  <c r="E255"/>
  <c r="D255"/>
  <c r="F254"/>
  <c r="E254"/>
  <c r="D254"/>
  <c r="F253"/>
  <c r="E253"/>
  <c r="D253"/>
  <c r="F252"/>
  <c r="E252"/>
  <c r="D252"/>
  <c r="F251"/>
  <c r="E251"/>
  <c r="D251"/>
  <c r="F250"/>
  <c r="E250"/>
  <c r="D250"/>
  <c r="F249"/>
  <c r="E249"/>
  <c r="D249"/>
  <c r="F248"/>
  <c r="E248"/>
  <c r="D248"/>
  <c r="F247"/>
  <c r="E247"/>
  <c r="D247"/>
  <c r="F246"/>
  <c r="E246"/>
  <c r="D246"/>
  <c r="F245"/>
  <c r="E245"/>
  <c r="D245"/>
  <c r="F244"/>
  <c r="E244"/>
  <c r="D244"/>
  <c r="F243"/>
  <c r="E243"/>
  <c r="D243"/>
  <c r="F242"/>
  <c r="E242"/>
  <c r="D242"/>
  <c r="F241"/>
  <c r="E241"/>
  <c r="D241"/>
  <c r="F240"/>
  <c r="E240"/>
  <c r="D240"/>
  <c r="F239"/>
  <c r="E239"/>
  <c r="D239"/>
  <c r="F238"/>
  <c r="E238"/>
  <c r="D238"/>
  <c r="F237"/>
  <c r="E237"/>
  <c r="D237"/>
  <c r="F236"/>
  <c r="E236"/>
  <c r="D236"/>
  <c r="F235"/>
  <c r="E235"/>
  <c r="D235"/>
  <c r="F234"/>
  <c r="E234"/>
  <c r="D234"/>
  <c r="F233"/>
  <c r="E233"/>
  <c r="D233"/>
  <c r="F232"/>
  <c r="E232"/>
  <c r="D232"/>
  <c r="F231"/>
  <c r="E231"/>
  <c r="D231"/>
  <c r="F230"/>
  <c r="E230"/>
  <c r="D230"/>
  <c r="F229"/>
  <c r="E229"/>
  <c r="D229"/>
  <c r="F228"/>
  <c r="E228"/>
  <c r="D228"/>
  <c r="F227"/>
  <c r="E227"/>
  <c r="D227"/>
  <c r="F226"/>
  <c r="E226"/>
  <c r="D226"/>
  <c r="F225"/>
  <c r="E225"/>
  <c r="D225"/>
  <c r="F224"/>
  <c r="E224"/>
  <c r="D224"/>
  <c r="F223"/>
  <c r="E223"/>
  <c r="D223"/>
  <c r="F222"/>
  <c r="E222"/>
  <c r="D222"/>
  <c r="F221"/>
  <c r="E221"/>
  <c r="D221"/>
  <c r="F220"/>
  <c r="E220"/>
  <c r="D220"/>
  <c r="F219"/>
  <c r="E219"/>
  <c r="D219"/>
  <c r="F218"/>
  <c r="E218"/>
  <c r="D218"/>
  <c r="F217"/>
  <c r="E217"/>
  <c r="D217"/>
  <c r="F216"/>
  <c r="E216"/>
  <c r="D216"/>
  <c r="F215"/>
  <c r="E215"/>
  <c r="D215"/>
  <c r="F214"/>
  <c r="E214"/>
  <c r="D214"/>
  <c r="F213"/>
  <c r="E213"/>
  <c r="D213"/>
  <c r="F212"/>
  <c r="E212"/>
  <c r="D212"/>
  <c r="F211"/>
  <c r="E211"/>
  <c r="D211"/>
  <c r="F210"/>
  <c r="E210"/>
  <c r="D210"/>
  <c r="F209"/>
  <c r="E209"/>
  <c r="D209"/>
  <c r="F208"/>
  <c r="E208"/>
  <c r="D208"/>
  <c r="F207"/>
  <c r="E207"/>
  <c r="D207"/>
  <c r="F206"/>
  <c r="E206"/>
  <c r="D206"/>
  <c r="F205"/>
  <c r="E205"/>
  <c r="D205"/>
  <c r="F204"/>
  <c r="E204"/>
  <c r="D204"/>
  <c r="F203"/>
  <c r="E203"/>
  <c r="D203"/>
  <c r="F202"/>
  <c r="E202"/>
  <c r="D202"/>
  <c r="F201"/>
  <c r="E201"/>
  <c r="D201"/>
  <c r="F200"/>
  <c r="E200"/>
  <c r="D200"/>
  <c r="F199"/>
  <c r="E199"/>
  <c r="D199"/>
  <c r="F198"/>
  <c r="E198"/>
  <c r="D198"/>
  <c r="F197"/>
  <c r="E197"/>
  <c r="D197"/>
  <c r="F196"/>
  <c r="E196"/>
  <c r="D196"/>
  <c r="F195"/>
  <c r="E195"/>
  <c r="D195"/>
  <c r="F194"/>
  <c r="E194"/>
  <c r="D194"/>
  <c r="F193"/>
  <c r="E193"/>
  <c r="D193"/>
  <c r="F192"/>
  <c r="E192"/>
  <c r="D192"/>
  <c r="F191"/>
  <c r="E191"/>
  <c r="D191"/>
  <c r="F190"/>
  <c r="E190"/>
  <c r="D190"/>
  <c r="F189"/>
  <c r="E189"/>
  <c r="D189"/>
  <c r="F188"/>
  <c r="E188"/>
  <c r="D188"/>
  <c r="F187"/>
  <c r="E187"/>
  <c r="D187"/>
  <c r="F186"/>
  <c r="E186"/>
  <c r="D186"/>
  <c r="F185"/>
  <c r="E185"/>
  <c r="D185"/>
  <c r="F184"/>
  <c r="E184"/>
  <c r="D184"/>
  <c r="F183"/>
  <c r="E183"/>
  <c r="D183"/>
  <c r="F182"/>
  <c r="E182"/>
  <c r="D182"/>
  <c r="F181"/>
  <c r="E181"/>
  <c r="D181"/>
  <c r="F180"/>
  <c r="E180"/>
  <c r="D180"/>
  <c r="F179"/>
  <c r="E179"/>
  <c r="D179"/>
  <c r="F178"/>
  <c r="E178"/>
  <c r="D178"/>
  <c r="F177"/>
  <c r="E177"/>
  <c r="D177"/>
  <c r="F176"/>
  <c r="E176"/>
  <c r="D176"/>
  <c r="F175"/>
  <c r="E175"/>
  <c r="D175"/>
  <c r="F174"/>
  <c r="E174"/>
  <c r="D174"/>
  <c r="F173"/>
  <c r="E173"/>
  <c r="D173"/>
  <c r="F172"/>
  <c r="E172"/>
  <c r="D172"/>
  <c r="F171"/>
  <c r="E171"/>
  <c r="D171"/>
  <c r="F170"/>
  <c r="E170"/>
  <c r="D170"/>
  <c r="F169"/>
  <c r="E169"/>
  <c r="D169"/>
  <c r="F168"/>
  <c r="E168"/>
  <c r="D168"/>
  <c r="F167"/>
  <c r="E167"/>
  <c r="D167"/>
  <c r="F166"/>
  <c r="E166"/>
  <c r="D166"/>
  <c r="F165"/>
  <c r="E165"/>
  <c r="D165"/>
  <c r="F164"/>
  <c r="E164"/>
  <c r="D164"/>
  <c r="F163"/>
  <c r="E163"/>
  <c r="D163"/>
  <c r="F162"/>
  <c r="E162"/>
  <c r="D162"/>
  <c r="F161"/>
  <c r="E161"/>
  <c r="D161"/>
  <c r="F160"/>
  <c r="E160"/>
  <c r="D160"/>
  <c r="F159"/>
  <c r="E159"/>
  <c r="D159"/>
  <c r="F158"/>
  <c r="E158"/>
  <c r="D158"/>
  <c r="F157"/>
  <c r="E157"/>
  <c r="D157"/>
  <c r="F156"/>
  <c r="E156"/>
  <c r="D156"/>
  <c r="F155"/>
  <c r="E155"/>
  <c r="D155"/>
  <c r="F154"/>
  <c r="E154"/>
  <c r="D154"/>
  <c r="F153"/>
  <c r="E153"/>
  <c r="D153"/>
  <c r="F152"/>
  <c r="E152"/>
  <c r="D152"/>
  <c r="F151"/>
  <c r="E151"/>
  <c r="D151"/>
  <c r="F150"/>
  <c r="E150"/>
  <c r="D150"/>
  <c r="F149"/>
  <c r="E149"/>
  <c r="D149"/>
  <c r="F148"/>
  <c r="E148"/>
  <c r="D148"/>
  <c r="F147"/>
  <c r="E147"/>
  <c r="D147"/>
  <c r="F146"/>
  <c r="E146"/>
  <c r="D146"/>
  <c r="F145"/>
  <c r="E145"/>
  <c r="D145"/>
  <c r="F144"/>
  <c r="E144"/>
  <c r="D144"/>
  <c r="F143"/>
  <c r="E143"/>
  <c r="D143"/>
  <c r="F142"/>
  <c r="E142"/>
  <c r="D142"/>
  <c r="F141"/>
  <c r="E141"/>
  <c r="D141"/>
  <c r="F140"/>
  <c r="E140"/>
  <c r="D140"/>
  <c r="F139"/>
  <c r="E139"/>
  <c r="D139"/>
  <c r="F138"/>
  <c r="E138"/>
  <c r="D138"/>
  <c r="F137"/>
  <c r="E137"/>
  <c r="D137"/>
  <c r="F136"/>
  <c r="E136"/>
  <c r="D136"/>
  <c r="F135"/>
  <c r="E135"/>
  <c r="D135"/>
  <c r="F134"/>
  <c r="E134"/>
  <c r="D134"/>
  <c r="F133"/>
  <c r="E133"/>
  <c r="D133"/>
  <c r="F132"/>
  <c r="E132"/>
  <c r="D132"/>
  <c r="F131"/>
  <c r="E131"/>
  <c r="D131"/>
  <c r="F130"/>
  <c r="E130"/>
  <c r="D130"/>
  <c r="F129"/>
  <c r="E129"/>
  <c r="D129"/>
  <c r="F128"/>
  <c r="E128"/>
  <c r="D128"/>
  <c r="F127"/>
  <c r="E127"/>
  <c r="D127"/>
  <c r="F126"/>
  <c r="E126"/>
  <c r="D126"/>
  <c r="F125"/>
  <c r="E125"/>
  <c r="D125"/>
  <c r="F124"/>
  <c r="E124"/>
  <c r="D124"/>
  <c r="F123"/>
  <c r="E123"/>
  <c r="D123"/>
  <c r="F122"/>
  <c r="E122"/>
  <c r="D122"/>
  <c r="F121"/>
  <c r="E121"/>
  <c r="D121"/>
  <c r="F120"/>
  <c r="E120"/>
  <c r="D120"/>
  <c r="F119"/>
  <c r="E119"/>
  <c r="D119"/>
  <c r="F118"/>
  <c r="E118"/>
  <c r="D118"/>
  <c r="F117"/>
  <c r="E117"/>
  <c r="D117"/>
  <c r="F116"/>
  <c r="E116"/>
  <c r="D116"/>
  <c r="F115"/>
  <c r="E115"/>
  <c r="D115"/>
  <c r="F114"/>
  <c r="E114"/>
  <c r="D114"/>
  <c r="F113"/>
  <c r="E113"/>
  <c r="D113"/>
  <c r="F112"/>
  <c r="E112"/>
  <c r="D112"/>
  <c r="F111"/>
  <c r="E111"/>
  <c r="D111"/>
  <c r="F110"/>
  <c r="E110"/>
  <c r="D110"/>
  <c r="F109"/>
  <c r="E109"/>
  <c r="D109"/>
  <c r="F108"/>
  <c r="E108"/>
  <c r="D108"/>
  <c r="F107"/>
  <c r="E107"/>
  <c r="D107"/>
  <c r="F106"/>
  <c r="E106"/>
  <c r="D106"/>
  <c r="F105"/>
  <c r="E105"/>
  <c r="D105"/>
  <c r="F104"/>
  <c r="E104"/>
  <c r="D104"/>
  <c r="F103"/>
  <c r="E103"/>
  <c r="D103"/>
  <c r="F102"/>
  <c r="E102"/>
  <c r="D102"/>
  <c r="F101"/>
  <c r="E101"/>
  <c r="D101"/>
  <c r="F100"/>
  <c r="E100"/>
  <c r="D100"/>
  <c r="F99"/>
  <c r="E99"/>
  <c r="D99"/>
  <c r="F98"/>
  <c r="E98"/>
  <c r="D98"/>
  <c r="F97"/>
  <c r="E97"/>
  <c r="D97"/>
  <c r="F96"/>
  <c r="E96"/>
  <c r="D96"/>
  <c r="F95"/>
  <c r="E95"/>
  <c r="D95"/>
  <c r="F94"/>
  <c r="E94"/>
  <c r="D94"/>
  <c r="F93"/>
  <c r="E93"/>
  <c r="D93"/>
  <c r="F92"/>
  <c r="E92"/>
  <c r="D92"/>
  <c r="F91"/>
  <c r="E91"/>
  <c r="D91"/>
  <c r="F90"/>
  <c r="E90"/>
  <c r="D90"/>
  <c r="F89"/>
  <c r="E89"/>
  <c r="D89"/>
  <c r="F88"/>
  <c r="E88"/>
  <c r="D88"/>
  <c r="F87"/>
  <c r="E87"/>
  <c r="D87"/>
  <c r="F86"/>
  <c r="E86"/>
  <c r="D86"/>
  <c r="F85"/>
  <c r="E85"/>
  <c r="D85"/>
  <c r="F84"/>
  <c r="E84"/>
  <c r="D84"/>
  <c r="F83"/>
  <c r="E83"/>
  <c r="D83"/>
  <c r="F82"/>
  <c r="E82"/>
  <c r="D82"/>
  <c r="F81"/>
  <c r="E81"/>
  <c r="D81"/>
  <c r="F80"/>
  <c r="E80"/>
  <c r="D80"/>
  <c r="F79"/>
  <c r="E79"/>
  <c r="D79"/>
  <c r="F78"/>
  <c r="E78"/>
  <c r="D78"/>
  <c r="F77"/>
  <c r="E77"/>
  <c r="D77"/>
  <c r="F76"/>
  <c r="E76"/>
  <c r="D76"/>
  <c r="F75"/>
  <c r="E75"/>
  <c r="D75"/>
  <c r="F74"/>
  <c r="E74"/>
  <c r="D74"/>
  <c r="F73"/>
  <c r="E73"/>
  <c r="D73"/>
  <c r="F72"/>
  <c r="E72"/>
  <c r="D72"/>
  <c r="F71"/>
  <c r="E71"/>
  <c r="D71"/>
  <c r="F70"/>
  <c r="E70"/>
  <c r="D70"/>
  <c r="F69"/>
  <c r="E69"/>
  <c r="D69"/>
  <c r="F68"/>
  <c r="E68"/>
  <c r="D68"/>
  <c r="F67"/>
  <c r="E67"/>
  <c r="D67"/>
  <c r="F66"/>
  <c r="E66"/>
  <c r="D66"/>
  <c r="F65"/>
  <c r="E65"/>
  <c r="D65"/>
  <c r="F64"/>
  <c r="E64"/>
  <c r="D64"/>
  <c r="F63"/>
  <c r="E63"/>
  <c r="D63"/>
  <c r="F62"/>
  <c r="E62"/>
  <c r="D62"/>
  <c r="F61"/>
  <c r="E61"/>
  <c r="D61"/>
  <c r="F60"/>
  <c r="E60"/>
  <c r="D60"/>
  <c r="F59"/>
  <c r="E59"/>
  <c r="D59"/>
  <c r="F58"/>
  <c r="E58"/>
  <c r="D58"/>
  <c r="F57"/>
  <c r="E57"/>
  <c r="D57"/>
  <c r="F56"/>
  <c r="E56"/>
  <c r="D56"/>
  <c r="F55"/>
  <c r="E55"/>
  <c r="D55"/>
  <c r="F54"/>
  <c r="E54"/>
  <c r="D54"/>
  <c r="F53"/>
  <c r="E53"/>
  <c r="D53"/>
  <c r="F52"/>
  <c r="E52"/>
  <c r="D52"/>
  <c r="F51"/>
  <c r="E51"/>
  <c r="D51"/>
  <c r="F50"/>
  <c r="E50"/>
  <c r="D50"/>
  <c r="F49"/>
  <c r="E49"/>
  <c r="D49"/>
  <c r="F48"/>
  <c r="E48"/>
  <c r="D48"/>
  <c r="F47"/>
  <c r="E47"/>
  <c r="D47"/>
  <c r="F46"/>
  <c r="E46"/>
  <c r="D46"/>
  <c r="F45"/>
  <c r="E45"/>
  <c r="D45"/>
  <c r="F44"/>
  <c r="E44"/>
  <c r="D44"/>
  <c r="F43"/>
  <c r="E43"/>
  <c r="D43"/>
  <c r="F42"/>
  <c r="E42"/>
  <c r="D42"/>
  <c r="F41"/>
  <c r="E41"/>
  <c r="D41"/>
  <c r="F40"/>
  <c r="E40"/>
  <c r="D40"/>
  <c r="F39"/>
  <c r="E39"/>
  <c r="D39"/>
  <c r="F38"/>
  <c r="E38"/>
  <c r="D38"/>
  <c r="F37"/>
  <c r="E37"/>
  <c r="D37"/>
  <c r="F36"/>
  <c r="E36"/>
  <c r="D36"/>
  <c r="F35"/>
  <c r="E35"/>
  <c r="D35"/>
  <c r="F34"/>
  <c r="E34"/>
  <c r="D34"/>
  <c r="F33"/>
  <c r="E33"/>
  <c r="D33"/>
  <c r="F32"/>
  <c r="E32"/>
  <c r="D32"/>
  <c r="F31"/>
  <c r="E31"/>
  <c r="D31"/>
  <c r="F30"/>
  <c r="E30"/>
  <c r="D30"/>
  <c r="F29"/>
  <c r="E29"/>
  <c r="D29"/>
  <c r="F28"/>
  <c r="E28"/>
  <c r="D28"/>
  <c r="F27"/>
  <c r="E27"/>
  <c r="D27"/>
  <c r="F26"/>
  <c r="E26"/>
  <c r="D26"/>
  <c r="F25"/>
  <c r="E25"/>
  <c r="D25"/>
  <c r="F24"/>
  <c r="E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F16"/>
  <c r="E16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</calcChain>
</file>

<file path=xl/sharedStrings.xml><?xml version="1.0" encoding="utf-8"?>
<sst xmlns="http://schemas.openxmlformats.org/spreadsheetml/2006/main" count="3815" uniqueCount="621">
  <si>
    <t>śrīpatim</t>
  </si>
  <si>
    <t>śrīvatsāṅkitavakṣasam</t>
  </si>
  <si>
    <t>śrīvatsāṅkita</t>
  </si>
  <si>
    <t>śrīvatsa</t>
  </si>
  <si>
    <t>śrīrāmodantam</t>
  </si>
  <si>
    <t>śrīrāma</t>
  </si>
  <si>
    <t>śrīvālmīkiprakīrtitam</t>
  </si>
  <si>
    <t>śrīvālmīki</t>
  </si>
  <si>
    <t>kumbhakarṇavibhīṣaṇau</t>
  </si>
  <si>
    <t>āśritavatsalāt</t>
  </si>
  <si>
    <t>nirdevatvecchayā</t>
  </si>
  <si>
    <t>sattvaguṇānvitaḥ</t>
  </si>
  <si>
    <t>sattvaguṇa</t>
  </si>
  <si>
    <t>dhanādhipam</t>
  </si>
  <si>
    <t>laṅkāpurīm</t>
  </si>
  <si>
    <t>rasātalanivāsinaḥ</t>
  </si>
  <si>
    <t>daśānanam</t>
  </si>
  <si>
    <t>mayasutām</t>
  </si>
  <si>
    <t>meghanādāhvayaṃ</t>
  </si>
  <si>
    <t>dvija</t>
  </si>
  <si>
    <t>ātmajena</t>
  </si>
  <si>
    <t>taruratnāni</t>
  </si>
  <si>
    <t>dugdhodadheḥ</t>
  </si>
  <si>
    <t>hṛṣīkeśam</t>
  </si>
  <si>
    <t>devagaṇaiḥ</t>
  </si>
  <si>
    <t>daśānanāt</t>
  </si>
  <si>
    <t>viṣṭaraśravāḥ</t>
  </si>
  <si>
    <t>ātmayoni</t>
  </si>
  <si>
    <t>dāśarathiḥ</t>
  </si>
  <si>
    <t>daśaratha</t>
  </si>
  <si>
    <t>ātmāṃśa</t>
  </si>
  <si>
    <t>vānararūpin</t>
  </si>
  <si>
    <t>rāvaṇanigrahe</t>
  </si>
  <si>
    <t>padmayoni</t>
  </si>
  <si>
    <t>gīrvāṇa</t>
  </si>
  <si>
    <t>sugrīvam</t>
  </si>
  <si>
    <t>padmajaḥ</t>
  </si>
  <si>
    <t>sūryavaṃśe</t>
  </si>
  <si>
    <t>sumantravacana</t>
  </si>
  <si>
    <t>bhūpatiḥ</t>
  </si>
  <si>
    <t>putrakāmeṣṭim</t>
  </si>
  <si>
    <t>putrakāma</t>
  </si>
  <si>
    <t>sapurohitaḥ</t>
  </si>
  <si>
    <t>tatprāśanāt</t>
  </si>
  <si>
    <t>sajjanāmbhojabhāskaram</t>
  </si>
  <si>
    <t>sajjanāmbhoja</t>
  </si>
  <si>
    <t>sajjanā</t>
  </si>
  <si>
    <t>ambhoja</t>
  </si>
  <si>
    <t>lakṣmaṇaśatrughnau</t>
  </si>
  <si>
    <t>jātakarmādikam</t>
  </si>
  <si>
    <t>jātakarman</t>
  </si>
  <si>
    <t>dvijaiḥ</t>
  </si>
  <si>
    <t>viśvāmitraḥ</t>
  </si>
  <si>
    <t>mahāmuniḥ</t>
  </si>
  <si>
    <t>yajñarakṣā</t>
  </si>
  <si>
    <t>śaktidharopamam</t>
  </si>
  <si>
    <t>śaktidharaḥ</t>
  </si>
  <si>
    <t>vasiṣṭhavacanāt</t>
  </si>
  <si>
    <t>sahānujaḥ</t>
  </si>
  <si>
    <t>lokapīḍanatatparām</t>
  </si>
  <si>
    <t>lokapīḍana</t>
  </si>
  <si>
    <t>siddhāśramam</t>
  </si>
  <si>
    <t>saharāghavaḥ</t>
  </si>
  <si>
    <t>subāhupramukhān</t>
  </si>
  <si>
    <t>ahalyāśāpanirmokṣam</t>
  </si>
  <si>
    <t>śāpanirmokṣam</t>
  </si>
  <si>
    <t>sītānimitta</t>
  </si>
  <si>
    <t>mithilādhipaḥ</t>
  </si>
  <si>
    <t>rāmādibhyaḥ</t>
  </si>
  <si>
    <t>tatsutebhyaḥ</t>
  </si>
  <si>
    <t>sītādyāḥ</t>
  </si>
  <si>
    <t>guruniyogena</t>
  </si>
  <si>
    <t>dhanurbhaṅgam</t>
  </si>
  <si>
    <t>roṣabhīṣaṇam</t>
  </si>
  <si>
    <t>sarvajanānandam</t>
  </si>
  <si>
    <t>sarvajana</t>
  </si>
  <si>
    <t>śrīrāmodante</t>
  </si>
  <si>
    <t>bālakāṇḍaḥ</t>
  </si>
  <si>
    <t>śatrughnena</t>
  </si>
  <si>
    <t>mudānvitaḥ</t>
  </si>
  <si>
    <t>mahīpālam</t>
  </si>
  <si>
    <t>mantharādūṣitāśayā</t>
  </si>
  <si>
    <t>mantharādūṣitā</t>
  </si>
  <si>
    <t>varadvayam</t>
  </si>
  <si>
    <t>satyasaṃgaram</t>
  </si>
  <si>
    <t>vanavāsāya</t>
  </si>
  <si>
    <t>rājyāptyai</t>
  </si>
  <si>
    <t>mahīpatiḥ</t>
  </si>
  <si>
    <t>svagṛhān</t>
  </si>
  <si>
    <t>śriṅgiberapuram</t>
  </si>
  <si>
    <t>bharadvājamunim</t>
  </si>
  <si>
    <t>citrakūṭe</t>
  </si>
  <si>
    <t>śokavihvalaḥ</t>
  </si>
  <si>
    <t>sumantroktam</t>
  </si>
  <si>
    <t>duḥkhavimūḍhadhīḥ</t>
  </si>
  <si>
    <t>duḥkhavimūḍha</t>
  </si>
  <si>
    <t>vasiṣṭhoktyā</t>
  </si>
  <si>
    <t>bhūpateḥ</t>
  </si>
  <si>
    <t>mātulālayāt</t>
  </si>
  <si>
    <t>kaikeyīgirā</t>
  </si>
  <si>
    <t>saṃskārādi</t>
  </si>
  <si>
    <t>yathāvidhi</t>
  </si>
  <si>
    <t>avyayībhāva</t>
  </si>
  <si>
    <t>citrakūṭastham</t>
  </si>
  <si>
    <t>citrakūṭa</t>
  </si>
  <si>
    <t>cīrajaṭādharam</t>
  </si>
  <si>
    <t>cīrajaṭā</t>
  </si>
  <si>
    <t>vasiṣṭhādyaiḥ</t>
  </si>
  <si>
    <t>dīnamānasaḥ</t>
  </si>
  <si>
    <t>nandigrāme</t>
  </si>
  <si>
    <t>vasuṃdharām</t>
  </si>
  <si>
    <t>tatpatnī</t>
  </si>
  <si>
    <t>daṇḍakāraṇyam</t>
  </si>
  <si>
    <t>sītālakṣmaṇasaṃyutaḥ</t>
  </si>
  <si>
    <t>sītālakṣmaṇa</t>
  </si>
  <si>
    <t>vidhicoditam</t>
  </si>
  <si>
    <t>sadārānujam</t>
  </si>
  <si>
    <t>dārānuja</t>
  </si>
  <si>
    <t>śarabhaṅgāśramam</t>
  </si>
  <si>
    <t>agastyasyāśramam</t>
  </si>
  <si>
    <t>raghūttamaḥ</t>
  </si>
  <si>
    <t>tūṇīyugam</t>
  </si>
  <si>
    <t>kumbhasaṃbhavaḥ</t>
  </si>
  <si>
    <t>pitṛvallabham</t>
  </si>
  <si>
    <t>lakṣmaṇanirmitām</t>
  </si>
  <si>
    <t>parṇaśālām</t>
  </si>
  <si>
    <t>śūrpaṇakhā</t>
  </si>
  <si>
    <t>tannirastā</t>
  </si>
  <si>
    <t>kāmārtā</t>
  </si>
  <si>
    <t>kāmasaṃnibham</t>
  </si>
  <si>
    <t>dhikkṛtā</t>
  </si>
  <si>
    <t>kṛttaśravaṇanāsikā</t>
  </si>
  <si>
    <t>śravaṇanāsikā</t>
  </si>
  <si>
    <t>janasthānam</t>
  </si>
  <si>
    <t>dūṣaṇatriśiromukhyaiḥ</t>
  </si>
  <si>
    <t>dūṣaṇatriśiras</t>
  </si>
  <si>
    <t>raghunandanaḥ</t>
  </si>
  <si>
    <t>sahānugam</t>
  </si>
  <si>
    <t>laghuvikramaḥ</t>
  </si>
  <si>
    <t>śokasamanvitā</t>
  </si>
  <si>
    <t>kṛtamatiḥ</t>
  </si>
  <si>
    <t>svarṇamṛgaḥ</t>
  </si>
  <si>
    <t>kānanāntare</t>
  </si>
  <si>
    <t>tadrakṣām</t>
  </si>
  <si>
    <t>rāghavāntikam</t>
  </si>
  <si>
    <t>yatirūpadhṛt</t>
  </si>
  <si>
    <t>yatirūpa</t>
  </si>
  <si>
    <t>tuṇḍapakṣanakhaiḥ</t>
  </si>
  <si>
    <t>nijamandiram</t>
  </si>
  <si>
    <t>aśokavanikāmadhye</t>
  </si>
  <si>
    <t>aśokavanikā</t>
  </si>
  <si>
    <t>janakātmajām</t>
  </si>
  <si>
    <t>ātmajām</t>
  </si>
  <si>
    <t>niśācarīḥ</t>
  </si>
  <si>
    <t>anujeritām</t>
  </si>
  <si>
    <t>duḥkhārtaḥ (m.)</t>
  </si>
  <si>
    <t>gṛdhrarājam</t>
  </si>
  <si>
    <t>chinnapakṣam</t>
  </si>
  <si>
    <t>jānakīvārttām</t>
  </si>
  <si>
    <t>udakakriyām</t>
  </si>
  <si>
    <t>ayomukhīm</t>
  </si>
  <si>
    <t>kṛttaśravaṇanāsikām</t>
  </si>
  <si>
    <t>taddeham</t>
  </si>
  <si>
    <t>divyākṛtiḥ</t>
  </si>
  <si>
    <t>sītopalabdhaye</t>
  </si>
  <si>
    <t>ṛṣyamūkastham</t>
  </si>
  <si>
    <t>sugrīvāya</t>
  </si>
  <si>
    <t>raghuśreṣṭhaḥ</t>
  </si>
  <si>
    <t>śabaryāśramam</t>
  </si>
  <si>
    <t>salakṣmaṇaḥ</t>
  </si>
  <si>
    <t>sugrīvanirdiṣṭaḥ</t>
  </si>
  <si>
    <t>rāmalakṣmaṇau</t>
  </si>
  <si>
    <t>pāvakasaṃnidhau</t>
  </si>
  <si>
    <t>sugrīveṇa</t>
  </si>
  <si>
    <t>bhrātṛvairasya</t>
  </si>
  <si>
    <t>balādhikyam</t>
  </si>
  <si>
    <t>sudūraṃ</t>
  </si>
  <si>
    <t>pādāṅguṣṭha</t>
  </si>
  <si>
    <t>sugrīvaḥ</t>
  </si>
  <si>
    <t>rāmasamanvitaḥ</t>
  </si>
  <si>
    <t>vānarādhipam</t>
  </si>
  <si>
    <t>saṃbhagnasarvāṅgaḥ</t>
  </si>
  <si>
    <t>sarvāṅga</t>
  </si>
  <si>
    <t>kṛtacihnaḥ</t>
  </si>
  <si>
    <t>hemamālā</t>
  </si>
  <si>
    <t>sudāruṇam</t>
  </si>
  <si>
    <t>āśritavatsalaḥ</t>
  </si>
  <si>
    <t>lakṣmaṇasaṃyutaḥ</t>
  </si>
  <si>
    <t>sītāvirahaduḥkhitaḥ</t>
  </si>
  <si>
    <t>sītāviraha</t>
  </si>
  <si>
    <t>hanūmatpramukhaiḥ</t>
  </si>
  <si>
    <t>samayātikramāt</t>
  </si>
  <si>
    <t>prāyopaveśanam</t>
  </si>
  <si>
    <t>aṅgadādyāḥ</t>
  </si>
  <si>
    <t>svaprabhāvapraśaṃsābhiḥ</t>
  </si>
  <si>
    <t>svaprabhāva</t>
  </si>
  <si>
    <t>jāmbavaduktibhiḥ</t>
  </si>
  <si>
    <t>mahendrādrim</t>
  </si>
  <si>
    <t>anilātmajaḥ</t>
  </si>
  <si>
    <t>ātmajaḥ</t>
  </si>
  <si>
    <t>pavanātmajaḥ</t>
  </si>
  <si>
    <t>mahodadheḥ</t>
  </si>
  <si>
    <t>laṅkādhidevatām</t>
  </si>
  <si>
    <t>aśokavanikām</t>
  </si>
  <si>
    <t>tatpalāśaiḥ</t>
  </si>
  <si>
    <t>susaṃvṛtaḥ</t>
  </si>
  <si>
    <t>kāmamanyuparītātmā</t>
  </si>
  <si>
    <t>kāmamanyuparīta</t>
  </si>
  <si>
    <t>kāmamanyu</t>
  </si>
  <si>
    <t>cūḍāmaṇim</t>
  </si>
  <si>
    <t>akṣādīni</t>
  </si>
  <si>
    <t>śakrajitā</t>
  </si>
  <si>
    <t>rakṣodīpitalāṅgūlaḥ</t>
  </si>
  <si>
    <t>rakṣodīpita</t>
  </si>
  <si>
    <t>asaṃkhyaiḥ</t>
  </si>
  <si>
    <t>sugrīvapramukhaiḥ</t>
  </si>
  <si>
    <t>kapigaṇaiḥ</t>
  </si>
  <si>
    <t>laṅkādhipatye</t>
  </si>
  <si>
    <t>arimardanaḥ</t>
  </si>
  <si>
    <t>dattamārgaḥ</t>
  </si>
  <si>
    <t>suvela</t>
  </si>
  <si>
    <t>rāghavanirdiṣṭāḥ</t>
  </si>
  <si>
    <t>nīlamukhyāḥ</t>
  </si>
  <si>
    <t>vṛkṣapāṣāṇapāṇayaḥ</t>
  </si>
  <si>
    <t>vṛkṣapāṣāṇa</t>
  </si>
  <si>
    <t>prahastapramukhān</t>
  </si>
  <si>
    <t>siṃhavikramāḥ</t>
  </si>
  <si>
    <t>rāghavalakṣmaṇau</t>
  </si>
  <si>
    <t>bhīmaparākramāḥ</t>
  </si>
  <si>
    <t>subahūn</t>
  </si>
  <si>
    <t>nāgapāśena</t>
  </si>
  <si>
    <t>nāgāriḥ</t>
  </si>
  <si>
    <t>kumbhakarṇam</t>
  </si>
  <si>
    <t>vānarasaṃghān</t>
  </si>
  <si>
    <t>niśācaram</t>
  </si>
  <si>
    <t>rāvaṇasaṃdiṣṭau</t>
  </si>
  <si>
    <t>devāntakanarāntakau</t>
  </si>
  <si>
    <t>raṇamūrdhani</t>
  </si>
  <si>
    <t>mahākāyam</t>
  </si>
  <si>
    <t>rāvaṇasaṃdiṣṭa</t>
  </si>
  <si>
    <t>brahmāstreṇa</t>
  </si>
  <si>
    <t>oṣadhiparvatam</t>
  </si>
  <si>
    <t>bhūdharam</t>
  </si>
  <si>
    <t>rāghavādīn</t>
  </si>
  <si>
    <t>ruṣānvitaḥ</t>
  </si>
  <si>
    <t>balaśālinau</t>
  </si>
  <si>
    <t>saṃtaptahṛdayaḥ</t>
  </si>
  <si>
    <t>yuddhadurmadam</t>
  </si>
  <si>
    <t>samitiñjayaḥ</t>
  </si>
  <si>
    <t>māyāsītām</t>
  </si>
  <si>
    <t>hanūmatpramukheṣu</t>
  </si>
  <si>
    <t>durātmanā</t>
  </si>
  <si>
    <t>rākṣasendrasutena</t>
  </si>
  <si>
    <t>rākṣasendra</t>
  </si>
  <si>
    <t>samantriṇā</t>
  </si>
  <si>
    <t>rākṣasendrasutam</t>
  </si>
  <si>
    <t>anujena</t>
  </si>
  <si>
    <t>savibhīṣaṇaḥ</t>
  </si>
  <si>
    <t>indrajit</t>
  </si>
  <si>
    <t>bhrātṛputram</t>
  </si>
  <si>
    <t>dharmātmā</t>
  </si>
  <si>
    <t>śarasaṃcayaiḥ</t>
  </si>
  <si>
    <t>daśānanasutasya</t>
  </si>
  <si>
    <t>daśānana</t>
  </si>
  <si>
    <t>śokakarśitaḥ</t>
  </si>
  <si>
    <t>naṣṭadhairyaḥ</t>
  </si>
  <si>
    <t>vihvalāṅgaḥ</t>
  </si>
  <si>
    <t>ākulendriyaḥ</t>
  </si>
  <si>
    <t>majjanma</t>
  </si>
  <si>
    <t>indrajitam</t>
  </si>
  <si>
    <t>padātin</t>
  </si>
  <si>
    <t>kārāgṛhanivāsinam</t>
  </si>
  <si>
    <t>kārāgṛha</t>
  </si>
  <si>
    <t>amarādhipam</t>
  </si>
  <si>
    <t>sudurāsadaḥ</t>
  </si>
  <si>
    <t>dhūmrākṣaḥ</t>
  </si>
  <si>
    <t>vajradaṃṣṭraḥ</t>
  </si>
  <si>
    <t>kumbhakarṇaḥ</t>
  </si>
  <si>
    <t>prahastapramukhāḥ</t>
  </si>
  <si>
    <t>jayaiṣiṇaḥ</t>
  </si>
  <si>
    <t>salakṣmaṇam</t>
  </si>
  <si>
    <t>sārathivāhitam</t>
  </si>
  <si>
    <t>devavṛnde</t>
  </si>
  <si>
    <t>sītāharaṇajāt</t>
  </si>
  <si>
    <t>sītāharaṇa</t>
  </si>
  <si>
    <t>dharmabhṛt</t>
  </si>
  <si>
    <t>lokakaṇṭakam</t>
  </si>
  <si>
    <t>bhṛśāturā</t>
  </si>
  <si>
    <t>gatāyuṣaḥ</t>
  </si>
  <si>
    <t>agnivacanāt</t>
  </si>
  <si>
    <t>sunirmalām</t>
  </si>
  <si>
    <t>devavṛndaiḥ</t>
  </si>
  <si>
    <t>pitṛsaṃnidhau</t>
  </si>
  <si>
    <t>sarvaloka</t>
  </si>
  <si>
    <t>bhayaṅkaram</t>
  </si>
  <si>
    <t>devasaṃghaiḥ</t>
  </si>
  <si>
    <t>satyasaṃdhaḥ</t>
  </si>
  <si>
    <t>udāradhīḥ</t>
  </si>
  <si>
    <t>jagatpatiḥ</t>
  </si>
  <si>
    <t>bhāryānujābhyām</t>
  </si>
  <si>
    <t>anuja</t>
  </si>
  <si>
    <t>kiṣkindhānilayāḥ</t>
  </si>
  <si>
    <t>sītākutūhalāt</t>
  </si>
  <si>
    <t>bharadvājāśramam</t>
  </si>
  <si>
    <t>vahnipraveśam</t>
  </si>
  <si>
    <t>munīndreṇa</t>
  </si>
  <si>
    <t>sānujaḥ</t>
  </si>
  <si>
    <t>anujaḥ</t>
  </si>
  <si>
    <t>sasuhṛdgaṇaḥ</t>
  </si>
  <si>
    <t>suhṛdgaṇaḥ</t>
  </si>
  <si>
    <t>saṃtoṣavivaśena</t>
  </si>
  <si>
    <t>vidhipūjitaḥ</t>
  </si>
  <si>
    <t>ayodhyānivāsāḥ</t>
  </si>
  <si>
    <t>vasiṣṭhādyāḥ</t>
  </si>
  <si>
    <t>mudānvitāḥ</t>
  </si>
  <si>
    <t>abhiṣekotsave</t>
  </si>
  <si>
    <t>sugrīvādyāḥ</t>
  </si>
  <si>
    <t>kapīśvarāḥ</t>
  </si>
  <si>
    <t>yathārham</t>
  </si>
  <si>
    <t>sraggandhāmbarabhūṣaṇaiḥ</t>
  </si>
  <si>
    <t>muktāhāreṇa</t>
  </si>
  <si>
    <t>sītāvalokane</t>
  </si>
  <si>
    <t>putravatsalā</t>
  </si>
  <si>
    <t>vastracandanakuṅkumaiḥ</t>
  </si>
  <si>
    <t>rāmājñayā</t>
  </si>
  <si>
    <t>sugrīvādiplavaṅgamāḥ</t>
  </si>
  <si>
    <t>sugrīvādi</t>
  </si>
  <si>
    <t>śrīrāmavirahāturāḥ</t>
  </si>
  <si>
    <t>śrīrāmavirahā</t>
  </si>
  <si>
    <t>dīrghajīvī</t>
  </si>
  <si>
    <t>laṅkāsamarasādhakaḥ</t>
  </si>
  <si>
    <t>laṅkāsamara</t>
  </si>
  <si>
    <t>siṃhāsanam</t>
  </si>
  <si>
    <t>lakṣmaṇānumateḥ</t>
  </si>
  <si>
    <t>mahātmānaḥ</t>
  </si>
  <si>
    <t>sabhāryāḥ</t>
  </si>
  <si>
    <t>raghusattamāḥ</t>
  </si>
  <si>
    <t>svapattane</t>
  </si>
  <si>
    <t>rāvaṇadūṣitām</t>
  </si>
  <si>
    <t>ajñajanavādena</t>
  </si>
  <si>
    <t>ajñajana</t>
  </si>
  <si>
    <t>nijāśramam</t>
  </si>
  <si>
    <t>sasutām</t>
  </si>
  <si>
    <t>janakātmajā</t>
  </si>
  <si>
    <t>ātmajā</t>
  </si>
  <si>
    <t>vanaukasaḥ</t>
  </si>
  <si>
    <t>sarayūtīrthe</t>
  </si>
  <si>
    <t>bharataśatrughnau</t>
  </si>
  <si>
    <t>mandadhiyā</t>
  </si>
  <si>
    <t>1.1</t>
  </si>
  <si>
    <t>1.2</t>
  </si>
  <si>
    <t>1.3</t>
  </si>
  <si>
    <t>1.4</t>
  </si>
  <si>
    <t>1.5</t>
  </si>
  <si>
    <t>1.6</t>
  </si>
  <si>
    <t>1.7</t>
  </si>
  <si>
    <t>1.8</t>
  </si>
  <si>
    <t>1.10</t>
  </si>
  <si>
    <t>1.11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</si>
  <si>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</si>
  <si>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</si>
  <si>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</si>
  <si>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</si>
  <si>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</si>
  <si>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</si>
  <si>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</si>
  <si>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</si>
  <si>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</si>
  <si>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</si>
  <si>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</si>
  <si>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1.25</t>
  </si>
  <si>
    <t>1.26</t>
  </si>
  <si>
    <t>1.27</t>
  </si>
  <si>
    <t>1.29</t>
  </si>
  <si>
    <t>1.30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</si>
  <si>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</si>
  <si>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</si>
  <si>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</si>
  <si>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</si>
  <si>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</si>
  <si>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</si>
  <si>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</si>
  <si>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</si>
  <si>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</si>
  <si>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2.1</t>
  </si>
  <si>
    <t>2.2</t>
  </si>
  <si>
    <t>2.3</t>
  </si>
  <si>
    <t>2.4</t>
  </si>
  <si>
    <t>2.5</t>
  </si>
  <si>
    <t>2.6</t>
  </si>
  <si>
    <t>2.8</t>
  </si>
  <si>
    <t>2.10</t>
  </si>
  <si>
    <t>2.11</t>
  </si>
  <si>
    <t>2.12</t>
  </si>
  <si>
    <t>2.13</t>
  </si>
  <si>
    <t>2.14</t>
  </si>
  <si>
    <t>2.16</t>
  </si>
  <si>
    <t>2.18</t>
  </si>
  <si>
    <t>2.19</t>
  </si>
  <si>
    <t>2.20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</si>
  <si>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</si>
  <si>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</si>
  <si>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</si>
  <si>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</si>
  <si>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</si>
  <si>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</si>
  <si>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</si>
  <si>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</si>
  <si>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</si>
  <si>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</si>
  <si>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</si>
  <si>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</si>
  <si>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</si>
  <si>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</si>
  <si>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</si>
  <si>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</si>
  <si>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</si>
  <si>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</si>
  <si>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</si>
  <si>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</si>
  <si>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</si>
  <si>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</si>
  <si>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</si>
  <si>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</si>
  <si>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</si>
  <si>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</si>
  <si>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</si>
  <si>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4.28</t>
  </si>
  <si>
    <t>4.2</t>
  </si>
  <si>
    <t>4.4</t>
  </si>
  <si>
    <t>4.5</t>
  </si>
  <si>
    <t>4.6</t>
  </si>
  <si>
    <t>4.7</t>
  </si>
  <si>
    <t>4.8</t>
  </si>
  <si>
    <t>4.9</t>
  </si>
  <si>
    <t>4.10</t>
  </si>
  <si>
    <t>4.12</t>
  </si>
  <si>
    <t>4.13</t>
  </si>
  <si>
    <t>4.14</t>
  </si>
  <si>
    <t>4.15</t>
  </si>
  <si>
    <t>4.17</t>
  </si>
  <si>
    <t>4.18</t>
  </si>
  <si>
    <t>4.19</t>
  </si>
  <si>
    <t>4.20</t>
  </si>
  <si>
    <t>5.1</t>
  </si>
  <si>
    <t>5.2</t>
  </si>
  <si>
    <t>5.3</t>
  </si>
  <si>
    <t>5.4</t>
  </si>
  <si>
    <t>5.5</t>
  </si>
  <si>
    <t>5.6</t>
  </si>
  <si>
    <t>5.7</t>
  </si>
  <si>
    <t>5.9</t>
  </si>
  <si>
    <t>5.11</t>
  </si>
  <si>
    <t>5.12</t>
  </si>
  <si>
    <t>5.13</t>
  </si>
  <si>
    <t>5.14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</si>
  <si>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</si>
  <si>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</si>
  <si>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</si>
  <si>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</si>
  <si>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</si>
  <si>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</si>
  <si>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</si>
  <si>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</si>
  <si>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</si>
  <si>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</si>
  <si>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</si>
  <si>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</si>
  <si>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</si>
  <si>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</si>
  <si>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</si>
  <si>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</si>
  <si>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</si>
  <si>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</si>
  <si>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</si>
  <si>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6.20</t>
  </si>
  <si>
    <t>6.24</t>
  </si>
  <si>
    <t>6.25</t>
  </si>
  <si>
    <t>6.26</t>
  </si>
  <si>
    <t>6.27</t>
  </si>
  <si>
    <t>6.28</t>
  </si>
  <si>
    <t>6.29</t>
  </si>
  <si>
    <t>6.30</t>
  </si>
  <si>
    <t>6.31</t>
  </si>
  <si>
    <t>6.32</t>
  </si>
  <si>
    <t>6.33</t>
  </si>
  <si>
    <t>6.34</t>
  </si>
  <si>
    <t>6.35</t>
  </si>
  <si>
    <t>6.38</t>
  </si>
  <si>
    <t>6.40</t>
  </si>
  <si>
    <t>6.41</t>
  </si>
  <si>
    <t>6.42</t>
  </si>
  <si>
    <t>6.43</t>
  </si>
  <si>
    <t>6.44</t>
  </si>
  <si>
    <t>6.45</t>
  </si>
  <si>
    <t>6.46</t>
  </si>
  <si>
    <t>6.47</t>
  </si>
  <si>
    <t>6.48</t>
  </si>
  <si>
    <t>6.49</t>
  </si>
  <si>
    <t>6.50</t>
  </si>
  <si>
    <t>6.51</t>
  </si>
  <si>
    <t>6.52</t>
  </si>
  <si>
    <t>6.53</t>
  </si>
  <si>
    <t>6.54</t>
  </si>
  <si>
    <t>6.55</t>
  </si>
  <si>
    <t>6.56</t>
  </si>
  <si>
    <t>6.57</t>
  </si>
  <si>
    <t>6.58</t>
  </si>
  <si>
    <t>6.60</t>
  </si>
  <si>
    <t>6.61</t>
  </si>
  <si>
    <t>6.62</t>
  </si>
  <si>
    <t>6.63</t>
  </si>
  <si>
    <t>6.64</t>
  </si>
  <si>
    <t>6.65</t>
  </si>
  <si>
    <t>6.66</t>
  </si>
  <si>
    <t>6.67</t>
  </si>
  <si>
    <t>6.68</t>
  </si>
  <si>
    <t>7.1</t>
  </si>
  <si>
    <t>7.2</t>
  </si>
  <si>
    <t>7.4</t>
  </si>
  <si>
    <t>7.5</t>
  </si>
  <si>
    <t>7.6</t>
  </si>
  <si>
    <t>7.7</t>
  </si>
  <si>
    <t>7.8</t>
  </si>
  <si>
    <t>7.9</t>
  </si>
  <si>
    <t>prahṛṣṭadhī</t>
  </si>
  <si>
    <t>vānarasaṃgha</t>
  </si>
  <si>
    <t>arighātinā</t>
  </si>
  <si>
    <t>tatpuruṣa</t>
  </si>
  <si>
    <t>bahuvrīhi</t>
  </si>
  <si>
    <t>dvandva</t>
  </si>
  <si>
    <t>ṣaṣṭhī-</t>
  </si>
  <si>
    <t>samānādhikaraṇa-</t>
  </si>
  <si>
    <t>tṛtīyā-</t>
  </si>
  <si>
    <t xml:space="preserve">viśeṣaṇapūrvapadaḥ </t>
  </si>
  <si>
    <t>karmadhāraya</t>
  </si>
  <si>
    <t>itaretara-</t>
  </si>
  <si>
    <t>dvitīyā-</t>
  </si>
  <si>
    <t>upapada-</t>
  </si>
  <si>
    <t xml:space="preserve">upamānottarapadaḥ </t>
  </si>
  <si>
    <t xml:space="preserve">sahapūrvapado </t>
  </si>
  <si>
    <t>caturthī-</t>
  </si>
  <si>
    <t>pañcamī-</t>
  </si>
  <si>
    <t>saptamī-</t>
  </si>
  <si>
    <t>saha-</t>
  </si>
  <si>
    <t xml:space="preserve">vyadhikaraṇa </t>
  </si>
  <si>
    <t xml:space="preserve">samānādhikaraṇa </t>
  </si>
  <si>
    <t xml:space="preserve">upamānapūrvapadaḥ </t>
  </si>
  <si>
    <t xml:space="preserve">itaretara </t>
  </si>
  <si>
    <t>prādi-</t>
  </si>
  <si>
    <t>nañ-</t>
  </si>
  <si>
    <t>samāhāra-</t>
  </si>
  <si>
    <t>viṣṇubhaktim</t>
  </si>
  <si>
    <t>yajñarakṣārtham</t>
  </si>
  <si>
    <t>kṛtodvāhaḥ</t>
  </si>
  <si>
    <t>urumānitaḥ</t>
  </si>
  <si>
    <t>gaṅgākūle</t>
  </si>
  <si>
    <t>hanūmatpramukhāḥ</t>
  </si>
  <si>
    <t>sītāvārttām</t>
  </si>
  <si>
    <t>madanārditaḥ</t>
  </si>
  <si>
    <t>pavananandanaḥ</t>
  </si>
  <si>
    <t>raghunātha</t>
  </si>
  <si>
    <t>hanūmadaṅgadābhyām</t>
  </si>
  <si>
    <t>kumbhakarṇasya</t>
  </si>
  <si>
    <t>kharātmajam</t>
  </si>
  <si>
    <t>ātmajam</t>
  </si>
  <si>
    <t>jagannāyaka</t>
  </si>
  <si>
    <t>rāvaṇimānasam</t>
  </si>
  <si>
    <t>sarvalokabhayaṅkaram</t>
  </si>
  <si>
    <t>Самаса</t>
  </si>
  <si>
    <t>Шлока</t>
  </si>
  <si>
    <t>Алф_номер</t>
  </si>
  <si>
    <t>Алф_Номер</t>
  </si>
  <si>
    <t>Тип</t>
  </si>
  <si>
    <t>Подтип</t>
  </si>
  <si>
    <t>Повтор самасы</t>
  </si>
  <si>
    <t>Номер п.п.</t>
  </si>
  <si>
    <t>vyadhikaraṇa-</t>
  </si>
  <si>
    <t>Кол-во</t>
  </si>
  <si>
    <t>T6</t>
  </si>
  <si>
    <t>U</t>
  </si>
  <si>
    <t>T3</t>
  </si>
  <si>
    <t>T7</t>
  </si>
  <si>
    <t>Tp</t>
  </si>
  <si>
    <t>T2</t>
  </si>
  <si>
    <t>T5</t>
  </si>
  <si>
    <t>T4</t>
  </si>
  <si>
    <t>Tn</t>
  </si>
  <si>
    <t>Сокр.</t>
  </si>
  <si>
    <t>K4</t>
  </si>
  <si>
    <t>K1</t>
  </si>
  <si>
    <t>K5</t>
  </si>
  <si>
    <t>BvS</t>
  </si>
  <si>
    <t>Di</t>
  </si>
  <si>
    <t>Ds</t>
  </si>
  <si>
    <t>A</t>
  </si>
  <si>
    <t>Bs?</t>
  </si>
  <si>
    <t>Bv?</t>
  </si>
  <si>
    <t>Тоже есть подвиды</t>
  </si>
  <si>
    <t>Какая из? Их 7 видов?</t>
  </si>
  <si>
    <t>Тоже sahapūrvapado ? Других saha-bahuvrīhi просто нет.</t>
  </si>
  <si>
    <t>vyadhikaraṇa-? Тогда почему vyadhikaraṇa- отдельно?</t>
  </si>
  <si>
    <t>nitya?</t>
  </si>
  <si>
    <t>viśeṣaṇa. karmadhā.</t>
  </si>
  <si>
    <t>Длинное сокращение</t>
  </si>
  <si>
    <t>upamānapū. karma.</t>
  </si>
  <si>
    <t>upamānotta. karma.</t>
  </si>
  <si>
    <t>samānādhi-bah.</t>
  </si>
  <si>
    <t>saha-bah.</t>
  </si>
  <si>
    <t>vyadhi-bah.</t>
  </si>
  <si>
    <t>itaretara-dva.</t>
  </si>
  <si>
    <t>samāhāra-dva.</t>
  </si>
  <si>
    <t>ṣaṣṭhī-tat.</t>
  </si>
  <si>
    <t>upapada-tat.</t>
  </si>
  <si>
    <t>tṛtīyā-tat.</t>
  </si>
  <si>
    <t>saptamī-tat.</t>
  </si>
  <si>
    <t>prādi-tat.</t>
  </si>
  <si>
    <t>dvitīyā-tat.</t>
  </si>
  <si>
    <t>pañcamī-tat.</t>
  </si>
  <si>
    <t>caturthī-tat.</t>
  </si>
  <si>
    <t>nañ-tat.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</si>
</sst>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0" xfId="0" applyFill="1"/>
    <xf numFmtId="0" fontId="0" fillId="2" borderId="4" xfId="0" applyFill="1" applyBorder="1"/>
    <xf numFmtId="49" fontId="0" fillId="2" borderId="0" xfId="0" applyNumberFormat="1" applyFill="1"/>
    <xf numFmtId="49" fontId="0" fillId="2" borderId="0" xfId="0" applyNumberFormat="1" applyFont="1" applyFill="1"/>
    <xf numFmtId="0" fontId="0" fillId="2" borderId="0" xfId="0" applyFont="1" applyFill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314324</xdr:colOff>
      <xdr:row>0</xdr:row>
      <xdr:rowOff>0</xdr:rowOff>
    </xdr:from>
    <xdr:to>
      <xdr:col>19</xdr:col>
      <xdr:colOff>228599</xdr:colOff>
      <xdr:row>44</xdr:row>
      <xdr:rowOff>114301</xdr:rowOff>
    </xdr:to>
    <xdr:pic>
      <xdr:nvPicPr>
        <xdr:cNvPr id="2" name="Рисунок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43774" y="0"/>
          <a:ext cx="6619875" cy="85534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6"/>
  <sheetViews>
    <sheetView zoomScale="160" zoomScaleNormal="160" workbookViewId="0">
      <selection activeCell="C15" sqref="C15"/>
    </sheetView>
  </sheetViews>
  <sheetFormatPr defaultRowHeight="15"/>
  <cols>
    <col min="1" max="1" width="10.5703125" customWidth="1"/>
    <col min="2" max="2" width="21.42578125" customWidth="1"/>
    <col min="3" max="3" width="17.5703125" customWidth="1"/>
    <col min="4" max="4" width="22.5703125" customWidth="1"/>
  </cols>
  <sheetData>
    <row r="1" spans="1:5">
      <c r="A1" s="2" t="s">
        <v>576</v>
      </c>
      <c r="B1" s="2" t="s">
        <v>569</v>
      </c>
      <c r="C1" s="2" t="s">
        <v>574</v>
      </c>
      <c r="D1" s="2" t="s">
        <v>573</v>
      </c>
      <c r="E1" s="2" t="s">
        <v>570</v>
      </c>
    </row>
    <row r="2" spans="1:5">
      <c r="A2" s="3">
        <v>1</v>
      </c>
      <c r="B2" s="18" t="s">
        <v>0</v>
      </c>
      <c r="C2" s="16" t="s">
        <v>531</v>
      </c>
      <c r="D2" s="16" t="s">
        <v>528</v>
      </c>
      <c r="E2" s="1" t="s">
        <v>349</v>
      </c>
    </row>
    <row r="3" spans="1:5">
      <c r="A3" s="3">
        <v>2</v>
      </c>
      <c r="B3" s="18" t="s">
        <v>1</v>
      </c>
      <c r="C3" s="16" t="s">
        <v>532</v>
      </c>
      <c r="D3" s="16" t="s">
        <v>529</v>
      </c>
      <c r="E3" s="1" t="s">
        <v>349</v>
      </c>
    </row>
    <row r="4" spans="1:5">
      <c r="A4" s="3">
        <v>3</v>
      </c>
      <c r="B4" s="21" t="s">
        <v>2</v>
      </c>
      <c r="C4" s="22" t="s">
        <v>533</v>
      </c>
      <c r="D4" s="22" t="s">
        <v>528</v>
      </c>
      <c r="E4" s="1" t="s">
        <v>349</v>
      </c>
    </row>
    <row r="5" spans="1:5">
      <c r="A5" s="3">
        <v>4</v>
      </c>
      <c r="B5" s="19" t="s">
        <v>3</v>
      </c>
      <c r="C5" s="20" t="s">
        <v>534</v>
      </c>
      <c r="D5" s="20" t="s">
        <v>535</v>
      </c>
      <c r="E5" s="1" t="s">
        <v>349</v>
      </c>
    </row>
    <row r="6" spans="1:5">
      <c r="A6" s="3">
        <v>5</v>
      </c>
      <c r="B6" s="18" t="s">
        <v>4</v>
      </c>
      <c r="C6" s="16" t="s">
        <v>531</v>
      </c>
      <c r="D6" s="16" t="s">
        <v>528</v>
      </c>
      <c r="E6" s="1" t="s">
        <v>349</v>
      </c>
    </row>
    <row r="7" spans="1:5">
      <c r="A7" s="3">
        <v>6</v>
      </c>
      <c r="B7" s="21" t="s">
        <v>5</v>
      </c>
      <c r="C7" s="22" t="s">
        <v>534</v>
      </c>
      <c r="D7" s="22" t="s">
        <v>535</v>
      </c>
      <c r="E7" s="1" t="s">
        <v>349</v>
      </c>
    </row>
    <row r="8" spans="1:5">
      <c r="A8" s="3">
        <v>7</v>
      </c>
      <c r="B8" s="18" t="s">
        <v>6</v>
      </c>
      <c r="C8" s="16" t="s">
        <v>533</v>
      </c>
      <c r="D8" s="16" t="s">
        <v>528</v>
      </c>
      <c r="E8" s="1" t="s">
        <v>349</v>
      </c>
    </row>
    <row r="9" spans="1:5">
      <c r="A9" s="3">
        <v>8</v>
      </c>
      <c r="B9" s="21" t="s">
        <v>7</v>
      </c>
      <c r="C9" s="22" t="s">
        <v>534</v>
      </c>
      <c r="D9" s="22" t="s">
        <v>535</v>
      </c>
      <c r="E9" s="1" t="s">
        <v>349</v>
      </c>
    </row>
    <row r="10" spans="1:5">
      <c r="A10" s="3">
        <v>9</v>
      </c>
      <c r="B10" s="1" t="s">
        <v>8</v>
      </c>
      <c r="C10" t="s">
        <v>536</v>
      </c>
      <c r="D10" t="s">
        <v>530</v>
      </c>
      <c r="E10" s="1" t="s">
        <v>350</v>
      </c>
    </row>
    <row r="11" spans="1:5">
      <c r="A11" s="3">
        <v>10</v>
      </c>
      <c r="B11" s="1" t="s">
        <v>9</v>
      </c>
      <c r="C11" t="s">
        <v>531</v>
      </c>
      <c r="D11" t="s">
        <v>528</v>
      </c>
      <c r="E11" s="1" t="s">
        <v>351</v>
      </c>
    </row>
    <row r="12" spans="1:5">
      <c r="A12" s="3">
        <v>11</v>
      </c>
      <c r="B12" s="1" t="s">
        <v>10</v>
      </c>
      <c r="C12" t="s">
        <v>537</v>
      </c>
      <c r="D12" t="s">
        <v>528</v>
      </c>
      <c r="E12" s="1" t="s">
        <v>352</v>
      </c>
    </row>
    <row r="13" spans="1:5">
      <c r="A13" s="3">
        <v>12</v>
      </c>
      <c r="B13" s="1" t="s">
        <v>552</v>
      </c>
      <c r="C13" t="s">
        <v>531</v>
      </c>
      <c r="D13" t="s">
        <v>528</v>
      </c>
      <c r="E13" s="1" t="s">
        <v>353</v>
      </c>
    </row>
    <row r="14" spans="1:5">
      <c r="A14" s="3">
        <v>13</v>
      </c>
      <c r="B14" s="1" t="s">
        <v>11</v>
      </c>
      <c r="C14" t="s">
        <v>533</v>
      </c>
      <c r="D14" t="s">
        <v>528</v>
      </c>
      <c r="E14" s="1" t="s">
        <v>353</v>
      </c>
    </row>
    <row r="15" spans="1:5">
      <c r="A15" s="3">
        <v>14</v>
      </c>
      <c r="B15" s="1" t="s">
        <v>12</v>
      </c>
      <c r="C15" t="s">
        <v>534</v>
      </c>
      <c r="D15" t="s">
        <v>535</v>
      </c>
      <c r="E15" s="1" t="s">
        <v>353</v>
      </c>
    </row>
    <row r="16" spans="1:5">
      <c r="A16" s="3">
        <v>15</v>
      </c>
      <c r="B16" s="1" t="s">
        <v>13</v>
      </c>
      <c r="C16" t="s">
        <v>531</v>
      </c>
      <c r="D16" t="s">
        <v>528</v>
      </c>
      <c r="E16" s="1" t="s">
        <v>354</v>
      </c>
    </row>
    <row r="17" spans="1:5">
      <c r="A17" s="3">
        <v>16</v>
      </c>
      <c r="B17" s="1" t="s">
        <v>14</v>
      </c>
      <c r="C17" t="s">
        <v>534</v>
      </c>
      <c r="D17" t="s">
        <v>535</v>
      </c>
      <c r="E17" s="1" t="s">
        <v>354</v>
      </c>
    </row>
    <row r="18" spans="1:5">
      <c r="A18" s="3">
        <v>17</v>
      </c>
      <c r="B18" s="1" t="s">
        <v>15</v>
      </c>
      <c r="C18" t="s">
        <v>538</v>
      </c>
      <c r="D18" t="s">
        <v>528</v>
      </c>
      <c r="E18" s="1" t="s">
        <v>355</v>
      </c>
    </row>
    <row r="19" spans="1:5">
      <c r="A19" s="3">
        <v>18</v>
      </c>
      <c r="B19" s="1" t="s">
        <v>16</v>
      </c>
      <c r="C19" t="s">
        <v>532</v>
      </c>
      <c r="D19" t="s">
        <v>529</v>
      </c>
      <c r="E19" s="1" t="s">
        <v>355</v>
      </c>
    </row>
    <row r="20" spans="1:5">
      <c r="A20" s="3">
        <v>19</v>
      </c>
      <c r="B20" s="1" t="s">
        <v>17</v>
      </c>
      <c r="C20" t="s">
        <v>531</v>
      </c>
      <c r="D20" t="s">
        <v>528</v>
      </c>
      <c r="E20" s="1" t="s">
        <v>356</v>
      </c>
    </row>
    <row r="21" spans="1:5">
      <c r="A21" s="3">
        <v>20</v>
      </c>
      <c r="B21" s="1" t="s">
        <v>18</v>
      </c>
      <c r="C21" t="s">
        <v>532</v>
      </c>
      <c r="D21" t="s">
        <v>529</v>
      </c>
      <c r="E21" s="1" t="s">
        <v>356</v>
      </c>
    </row>
    <row r="22" spans="1:5">
      <c r="A22" s="3">
        <v>21</v>
      </c>
      <c r="B22" s="1" t="s">
        <v>19</v>
      </c>
      <c r="C22" t="s">
        <v>538</v>
      </c>
      <c r="D22" t="s">
        <v>528</v>
      </c>
      <c r="E22" s="1" t="s">
        <v>357</v>
      </c>
    </row>
    <row r="23" spans="1:5">
      <c r="A23" s="3">
        <v>22</v>
      </c>
      <c r="B23" s="1" t="s">
        <v>20</v>
      </c>
      <c r="C23" t="s">
        <v>538</v>
      </c>
      <c r="D23" t="s">
        <v>528</v>
      </c>
      <c r="E23" s="1" t="s">
        <v>357</v>
      </c>
    </row>
    <row r="24" spans="1:5">
      <c r="A24" s="3">
        <v>23</v>
      </c>
      <c r="B24" s="1" t="s">
        <v>21</v>
      </c>
      <c r="C24" t="s">
        <v>539</v>
      </c>
      <c r="D24" t="s">
        <v>535</v>
      </c>
      <c r="E24" s="1" t="s">
        <v>358</v>
      </c>
    </row>
    <row r="25" spans="1:5">
      <c r="A25" s="3">
        <v>24</v>
      </c>
      <c r="B25" s="1" t="s">
        <v>22</v>
      </c>
      <c r="C25" t="s">
        <v>531</v>
      </c>
      <c r="D25" t="s">
        <v>528</v>
      </c>
      <c r="E25" s="1" t="s">
        <v>359</v>
      </c>
    </row>
    <row r="26" spans="1:5">
      <c r="A26" s="3">
        <v>25</v>
      </c>
      <c r="B26" s="1" t="s">
        <v>23</v>
      </c>
      <c r="C26" t="s">
        <v>531</v>
      </c>
      <c r="D26" t="s">
        <v>528</v>
      </c>
      <c r="E26" s="1" t="s">
        <v>359</v>
      </c>
    </row>
    <row r="27" spans="1:5">
      <c r="A27" s="3">
        <v>26</v>
      </c>
      <c r="B27" s="1" t="s">
        <v>24</v>
      </c>
      <c r="C27" t="s">
        <v>531</v>
      </c>
      <c r="D27" t="s">
        <v>528</v>
      </c>
      <c r="E27" s="1" t="s">
        <v>360</v>
      </c>
    </row>
    <row r="28" spans="1:5">
      <c r="A28" s="3">
        <v>27</v>
      </c>
      <c r="B28" s="1" t="s">
        <v>25</v>
      </c>
      <c r="C28" t="s">
        <v>532</v>
      </c>
      <c r="D28" t="s">
        <v>529</v>
      </c>
      <c r="E28" s="1" t="s">
        <v>361</v>
      </c>
    </row>
    <row r="29" spans="1:5">
      <c r="A29" s="3">
        <v>28</v>
      </c>
      <c r="B29" s="1" t="s">
        <v>26</v>
      </c>
      <c r="C29" t="s">
        <v>532</v>
      </c>
      <c r="D29" t="s">
        <v>529</v>
      </c>
      <c r="E29" s="1" t="s">
        <v>361</v>
      </c>
    </row>
    <row r="30" spans="1:5">
      <c r="A30" s="3">
        <v>29</v>
      </c>
      <c r="B30" s="1" t="s">
        <v>27</v>
      </c>
      <c r="C30" t="s">
        <v>532</v>
      </c>
      <c r="D30" t="s">
        <v>529</v>
      </c>
      <c r="E30" s="1" t="s">
        <v>362</v>
      </c>
    </row>
    <row r="31" spans="1:5">
      <c r="A31" s="3">
        <v>30</v>
      </c>
      <c r="B31" s="1" t="s">
        <v>24</v>
      </c>
      <c r="C31" t="s">
        <v>531</v>
      </c>
      <c r="D31" t="s">
        <v>528</v>
      </c>
      <c r="E31" s="1" t="s">
        <v>362</v>
      </c>
    </row>
    <row r="32" spans="1:5">
      <c r="A32" s="3">
        <v>31</v>
      </c>
      <c r="B32" s="1" t="s">
        <v>28</v>
      </c>
      <c r="C32" t="s">
        <v>532</v>
      </c>
      <c r="D32" t="s">
        <v>529</v>
      </c>
      <c r="E32" s="1" t="s">
        <v>362</v>
      </c>
    </row>
    <row r="33" spans="1:5">
      <c r="A33" s="3">
        <v>32</v>
      </c>
      <c r="B33" s="1" t="s">
        <v>29</v>
      </c>
      <c r="C33" t="s">
        <v>532</v>
      </c>
      <c r="D33" t="s">
        <v>529</v>
      </c>
      <c r="E33" s="1" t="s">
        <v>362</v>
      </c>
    </row>
    <row r="34" spans="1:5">
      <c r="A34" s="3">
        <v>33</v>
      </c>
      <c r="B34" s="1" t="s">
        <v>16</v>
      </c>
      <c r="C34" t="s">
        <v>532</v>
      </c>
      <c r="D34" t="s">
        <v>529</v>
      </c>
      <c r="E34" s="1" t="s">
        <v>362</v>
      </c>
    </row>
    <row r="35" spans="1:5">
      <c r="A35" s="3">
        <v>34</v>
      </c>
      <c r="B35" s="1" t="s">
        <v>30</v>
      </c>
      <c r="C35" t="s">
        <v>531</v>
      </c>
      <c r="D35" t="s">
        <v>528</v>
      </c>
      <c r="E35" s="1" t="s">
        <v>363</v>
      </c>
    </row>
    <row r="36" spans="1:5">
      <c r="A36" s="3">
        <v>35</v>
      </c>
      <c r="B36" s="1" t="s">
        <v>31</v>
      </c>
      <c r="C36" t="s">
        <v>534</v>
      </c>
      <c r="D36" t="s">
        <v>535</v>
      </c>
      <c r="E36" s="1" t="s">
        <v>363</v>
      </c>
    </row>
    <row r="37" spans="1:5">
      <c r="A37" s="3">
        <v>36</v>
      </c>
      <c r="B37" s="1" t="s">
        <v>32</v>
      </c>
      <c r="C37" t="s">
        <v>531</v>
      </c>
      <c r="D37" t="s">
        <v>528</v>
      </c>
      <c r="E37" s="1" t="s">
        <v>363</v>
      </c>
    </row>
    <row r="38" spans="1:5">
      <c r="A38" s="3">
        <v>37</v>
      </c>
      <c r="B38" s="1" t="s">
        <v>33</v>
      </c>
      <c r="C38" t="s">
        <v>532</v>
      </c>
      <c r="D38" t="s">
        <v>529</v>
      </c>
      <c r="E38" s="1" t="s">
        <v>364</v>
      </c>
    </row>
    <row r="39" spans="1:5">
      <c r="A39" s="3">
        <v>38</v>
      </c>
      <c r="B39" s="1" t="s">
        <v>34</v>
      </c>
      <c r="C39" t="s">
        <v>532</v>
      </c>
      <c r="D39" t="s">
        <v>529</v>
      </c>
      <c r="E39" s="1" t="s">
        <v>364</v>
      </c>
    </row>
    <row r="40" spans="1:5">
      <c r="A40" s="3">
        <v>39</v>
      </c>
      <c r="B40" s="1" t="s">
        <v>525</v>
      </c>
      <c r="C40" t="s">
        <v>532</v>
      </c>
      <c r="D40" t="s">
        <v>529</v>
      </c>
      <c r="E40" s="1" t="s">
        <v>364</v>
      </c>
    </row>
    <row r="41" spans="1:5">
      <c r="A41" s="3">
        <v>40</v>
      </c>
      <c r="B41" s="1" t="s">
        <v>35</v>
      </c>
      <c r="C41" t="s">
        <v>532</v>
      </c>
      <c r="D41" t="s">
        <v>529</v>
      </c>
      <c r="E41" s="1" t="s">
        <v>365</v>
      </c>
    </row>
    <row r="42" spans="1:5">
      <c r="A42" s="3">
        <v>41</v>
      </c>
      <c r="B42" s="1" t="s">
        <v>36</v>
      </c>
      <c r="C42" t="s">
        <v>538</v>
      </c>
      <c r="D42" t="s">
        <v>528</v>
      </c>
      <c r="E42" s="1" t="s">
        <v>366</v>
      </c>
    </row>
    <row r="43" spans="1:5">
      <c r="A43" s="3">
        <v>42</v>
      </c>
      <c r="B43" s="1" t="s">
        <v>526</v>
      </c>
      <c r="C43" t="s">
        <v>531</v>
      </c>
      <c r="D43" t="s">
        <v>528</v>
      </c>
      <c r="E43" s="1" t="s">
        <v>367</v>
      </c>
    </row>
    <row r="44" spans="1:5">
      <c r="A44" s="3">
        <v>43</v>
      </c>
      <c r="B44" s="1" t="s">
        <v>37</v>
      </c>
      <c r="C44" t="s">
        <v>531</v>
      </c>
      <c r="D44" t="s">
        <v>528</v>
      </c>
      <c r="E44" s="1" t="s">
        <v>368</v>
      </c>
    </row>
    <row r="45" spans="1:5">
      <c r="A45" s="3">
        <v>44</v>
      </c>
      <c r="B45" s="1" t="s">
        <v>38</v>
      </c>
      <c r="C45" t="s">
        <v>531</v>
      </c>
      <c r="D45" t="s">
        <v>528</v>
      </c>
      <c r="E45" s="1" t="s">
        <v>369</v>
      </c>
    </row>
    <row r="46" spans="1:5">
      <c r="A46" s="3">
        <v>45</v>
      </c>
      <c r="B46" s="1" t="s">
        <v>39</v>
      </c>
      <c r="C46" t="s">
        <v>531</v>
      </c>
      <c r="D46" t="s">
        <v>528</v>
      </c>
      <c r="E46" s="1" t="s">
        <v>369</v>
      </c>
    </row>
    <row r="47" spans="1:5">
      <c r="A47" s="3">
        <v>46</v>
      </c>
      <c r="B47" s="1" t="s">
        <v>40</v>
      </c>
      <c r="C47" t="s">
        <v>531</v>
      </c>
      <c r="D47" t="s">
        <v>528</v>
      </c>
      <c r="E47" s="1" t="s">
        <v>369</v>
      </c>
    </row>
    <row r="48" spans="1:5">
      <c r="A48" s="3">
        <v>47</v>
      </c>
      <c r="B48" s="1" t="s">
        <v>41</v>
      </c>
      <c r="C48" t="s">
        <v>538</v>
      </c>
      <c r="D48" t="s">
        <v>528</v>
      </c>
      <c r="E48" s="1" t="s">
        <v>369</v>
      </c>
    </row>
    <row r="49" spans="1:5">
      <c r="A49" s="3">
        <v>48</v>
      </c>
      <c r="B49" s="1" t="s">
        <v>42</v>
      </c>
      <c r="C49" t="s">
        <v>540</v>
      </c>
      <c r="D49" t="s">
        <v>529</v>
      </c>
      <c r="E49" s="1" t="s">
        <v>369</v>
      </c>
    </row>
    <row r="50" spans="1:5">
      <c r="A50" s="3">
        <v>49</v>
      </c>
      <c r="B50" s="1" t="s">
        <v>43</v>
      </c>
      <c r="C50" t="s">
        <v>534</v>
      </c>
      <c r="D50" t="s">
        <v>535</v>
      </c>
      <c r="E50" s="1" t="s">
        <v>370</v>
      </c>
    </row>
    <row r="51" spans="1:5">
      <c r="A51" s="3">
        <v>50</v>
      </c>
      <c r="B51" s="1" t="s">
        <v>44</v>
      </c>
      <c r="C51" t="s">
        <v>531</v>
      </c>
      <c r="D51" t="s">
        <v>528</v>
      </c>
      <c r="E51" s="1" t="s">
        <v>371</v>
      </c>
    </row>
    <row r="52" spans="1:5">
      <c r="A52" s="3">
        <v>51</v>
      </c>
      <c r="B52" s="1" t="s">
        <v>45</v>
      </c>
      <c r="C52" t="s">
        <v>539</v>
      </c>
      <c r="D52" t="s">
        <v>535</v>
      </c>
      <c r="E52" s="1" t="s">
        <v>371</v>
      </c>
    </row>
    <row r="53" spans="1:5">
      <c r="A53" s="3">
        <v>52</v>
      </c>
      <c r="B53" s="1" t="s">
        <v>46</v>
      </c>
      <c r="C53" t="s">
        <v>534</v>
      </c>
      <c r="D53" t="s">
        <v>535</v>
      </c>
      <c r="E53" s="1" t="s">
        <v>371</v>
      </c>
    </row>
    <row r="54" spans="1:5">
      <c r="A54" s="3">
        <v>53</v>
      </c>
      <c r="B54" s="1" t="s">
        <v>47</v>
      </c>
      <c r="C54" t="s">
        <v>538</v>
      </c>
      <c r="D54" t="s">
        <v>528</v>
      </c>
      <c r="E54" s="1" t="s">
        <v>371</v>
      </c>
    </row>
    <row r="55" spans="1:5">
      <c r="A55" s="3">
        <v>54</v>
      </c>
      <c r="B55" s="1" t="s">
        <v>48</v>
      </c>
      <c r="C55" t="s">
        <v>536</v>
      </c>
      <c r="D55" t="s">
        <v>530</v>
      </c>
      <c r="E55" s="1" t="s">
        <v>372</v>
      </c>
    </row>
    <row r="56" spans="1:5">
      <c r="A56" s="3">
        <v>55</v>
      </c>
      <c r="B56" s="1" t="s">
        <v>49</v>
      </c>
      <c r="C56" t="s">
        <v>532</v>
      </c>
      <c r="D56" t="s">
        <v>529</v>
      </c>
      <c r="E56" s="1" t="s">
        <v>372</v>
      </c>
    </row>
    <row r="57" spans="1:5">
      <c r="A57" s="3">
        <v>56</v>
      </c>
      <c r="B57" s="1" t="s">
        <v>50</v>
      </c>
      <c r="C57" t="s">
        <v>531</v>
      </c>
      <c r="D57" t="s">
        <v>528</v>
      </c>
      <c r="E57" s="1" t="s">
        <v>372</v>
      </c>
    </row>
    <row r="58" spans="1:5">
      <c r="A58" s="3">
        <v>57</v>
      </c>
      <c r="B58" s="1" t="s">
        <v>51</v>
      </c>
      <c r="C58" t="s">
        <v>538</v>
      </c>
      <c r="D58" t="s">
        <v>528</v>
      </c>
      <c r="E58" s="1" t="s">
        <v>372</v>
      </c>
    </row>
    <row r="59" spans="1:5">
      <c r="A59" s="3">
        <v>58</v>
      </c>
      <c r="B59" s="1" t="s">
        <v>52</v>
      </c>
      <c r="C59" t="s">
        <v>531</v>
      </c>
      <c r="D59" t="s">
        <v>528</v>
      </c>
      <c r="E59" s="1" t="s">
        <v>373</v>
      </c>
    </row>
    <row r="60" spans="1:5">
      <c r="A60" s="3">
        <v>59</v>
      </c>
      <c r="B60" s="1" t="s">
        <v>53</v>
      </c>
      <c r="C60" t="s">
        <v>534</v>
      </c>
      <c r="D60" t="s">
        <v>535</v>
      </c>
      <c r="E60" s="1" t="s">
        <v>373</v>
      </c>
    </row>
    <row r="61" spans="1:5">
      <c r="A61" s="3">
        <v>60</v>
      </c>
      <c r="B61" s="1" t="s">
        <v>553</v>
      </c>
      <c r="C61" t="s">
        <v>541</v>
      </c>
      <c r="D61" t="s">
        <v>528</v>
      </c>
      <c r="E61" s="1" t="s">
        <v>373</v>
      </c>
    </row>
    <row r="62" spans="1:5">
      <c r="A62" s="3">
        <v>61</v>
      </c>
      <c r="B62" s="1" t="s">
        <v>54</v>
      </c>
      <c r="C62" t="s">
        <v>531</v>
      </c>
      <c r="D62" t="s">
        <v>528</v>
      </c>
      <c r="E62" s="1" t="s">
        <v>373</v>
      </c>
    </row>
    <row r="63" spans="1:5">
      <c r="A63" s="3">
        <v>62</v>
      </c>
      <c r="B63" s="1" t="s">
        <v>55</v>
      </c>
      <c r="C63" t="s">
        <v>532</v>
      </c>
      <c r="D63" t="s">
        <v>529</v>
      </c>
      <c r="E63" s="1" t="s">
        <v>373</v>
      </c>
    </row>
    <row r="64" spans="1:5">
      <c r="A64" s="3">
        <v>63</v>
      </c>
      <c r="B64" s="1" t="s">
        <v>56</v>
      </c>
      <c r="C64" t="s">
        <v>538</v>
      </c>
      <c r="D64" t="s">
        <v>528</v>
      </c>
      <c r="E64" s="1" t="s">
        <v>373</v>
      </c>
    </row>
    <row r="65" spans="1:5">
      <c r="A65" s="3">
        <v>64</v>
      </c>
      <c r="B65" s="1" t="s">
        <v>57</v>
      </c>
      <c r="C65" t="s">
        <v>531</v>
      </c>
      <c r="D65" t="s">
        <v>528</v>
      </c>
      <c r="E65" s="1" t="s">
        <v>374</v>
      </c>
    </row>
    <row r="66" spans="1:5">
      <c r="A66" s="3">
        <v>65</v>
      </c>
      <c r="B66" s="1" t="s">
        <v>58</v>
      </c>
      <c r="C66" t="s">
        <v>540</v>
      </c>
      <c r="D66" t="s">
        <v>529</v>
      </c>
      <c r="E66" s="1" t="s">
        <v>375</v>
      </c>
    </row>
    <row r="67" spans="1:5">
      <c r="A67" s="3">
        <v>66</v>
      </c>
      <c r="B67" s="1" t="s">
        <v>59</v>
      </c>
      <c r="C67" t="s">
        <v>532</v>
      </c>
      <c r="D67" t="s">
        <v>529</v>
      </c>
      <c r="E67" s="1" t="s">
        <v>375</v>
      </c>
    </row>
    <row r="68" spans="1:5">
      <c r="A68" s="3">
        <v>67</v>
      </c>
      <c r="B68" s="1" t="s">
        <v>60</v>
      </c>
      <c r="C68" t="s">
        <v>531</v>
      </c>
      <c r="D68" t="s">
        <v>528</v>
      </c>
      <c r="E68" s="1" t="s">
        <v>375</v>
      </c>
    </row>
    <row r="69" spans="1:5">
      <c r="A69" s="3">
        <v>68</v>
      </c>
      <c r="B69" s="1" t="s">
        <v>61</v>
      </c>
      <c r="C69" t="s">
        <v>531</v>
      </c>
      <c r="D69" t="s">
        <v>528</v>
      </c>
      <c r="E69" s="1" t="s">
        <v>376</v>
      </c>
    </row>
    <row r="70" spans="1:5">
      <c r="A70" s="3">
        <v>69</v>
      </c>
      <c r="B70" s="1" t="s">
        <v>62</v>
      </c>
      <c r="C70" t="s">
        <v>540</v>
      </c>
      <c r="D70" t="s">
        <v>529</v>
      </c>
      <c r="E70" s="1" t="s">
        <v>376</v>
      </c>
    </row>
    <row r="71" spans="1:5">
      <c r="A71" s="3">
        <v>70</v>
      </c>
      <c r="B71" s="1" t="s">
        <v>63</v>
      </c>
      <c r="C71" t="s">
        <v>532</v>
      </c>
      <c r="D71" t="s">
        <v>529</v>
      </c>
      <c r="E71" s="1" t="s">
        <v>377</v>
      </c>
    </row>
    <row r="72" spans="1:5">
      <c r="A72" s="3">
        <v>71</v>
      </c>
      <c r="B72" s="1" t="s">
        <v>58</v>
      </c>
      <c r="C72" t="s">
        <v>540</v>
      </c>
      <c r="D72" t="s">
        <v>529</v>
      </c>
      <c r="E72" s="1" t="s">
        <v>378</v>
      </c>
    </row>
    <row r="73" spans="1:5">
      <c r="A73" s="3">
        <v>72</v>
      </c>
      <c r="B73" s="1" t="s">
        <v>64</v>
      </c>
      <c r="C73" t="s">
        <v>531</v>
      </c>
      <c r="D73" t="s">
        <v>528</v>
      </c>
      <c r="E73" s="1" t="s">
        <v>378</v>
      </c>
    </row>
    <row r="74" spans="1:5">
      <c r="A74" s="3">
        <v>73</v>
      </c>
      <c r="B74" s="1" t="s">
        <v>65</v>
      </c>
      <c r="C74" t="s">
        <v>542</v>
      </c>
      <c r="D74" t="s">
        <v>528</v>
      </c>
      <c r="E74" s="1" t="s">
        <v>378</v>
      </c>
    </row>
    <row r="75" spans="1:5">
      <c r="A75" s="3">
        <v>74</v>
      </c>
      <c r="B75" s="1" t="s">
        <v>66</v>
      </c>
      <c r="C75" t="s">
        <v>531</v>
      </c>
      <c r="D75" t="s">
        <v>528</v>
      </c>
      <c r="E75" s="1" t="s">
        <v>379</v>
      </c>
    </row>
    <row r="76" spans="1:5">
      <c r="A76" s="3">
        <v>75</v>
      </c>
      <c r="B76" s="1" t="s">
        <v>67</v>
      </c>
      <c r="C76" t="s">
        <v>531</v>
      </c>
      <c r="D76" t="s">
        <v>528</v>
      </c>
      <c r="E76" s="1" t="s">
        <v>380</v>
      </c>
    </row>
    <row r="77" spans="1:5">
      <c r="A77" s="3">
        <v>76</v>
      </c>
      <c r="B77" s="1" t="s">
        <v>68</v>
      </c>
      <c r="C77" t="s">
        <v>532</v>
      </c>
      <c r="D77" t="s">
        <v>529</v>
      </c>
      <c r="E77" s="1" t="s">
        <v>380</v>
      </c>
    </row>
    <row r="78" spans="1:5">
      <c r="A78" s="3">
        <v>77</v>
      </c>
      <c r="B78" s="1" t="s">
        <v>69</v>
      </c>
      <c r="C78" t="s">
        <v>531</v>
      </c>
      <c r="D78" t="s">
        <v>528</v>
      </c>
      <c r="E78" s="1" t="s">
        <v>380</v>
      </c>
    </row>
    <row r="79" spans="1:5">
      <c r="A79" s="3">
        <v>78</v>
      </c>
      <c r="B79" s="1" t="s">
        <v>70</v>
      </c>
      <c r="C79" t="s">
        <v>532</v>
      </c>
      <c r="D79" t="s">
        <v>529</v>
      </c>
      <c r="E79" s="1" t="s">
        <v>380</v>
      </c>
    </row>
    <row r="80" spans="1:5">
      <c r="A80" s="3">
        <v>79</v>
      </c>
      <c r="B80" s="1" t="s">
        <v>71</v>
      </c>
      <c r="C80" t="s">
        <v>531</v>
      </c>
      <c r="D80" t="s">
        <v>528</v>
      </c>
      <c r="E80" s="1" t="s">
        <v>381</v>
      </c>
    </row>
    <row r="81" spans="1:5">
      <c r="A81" s="3">
        <v>80</v>
      </c>
      <c r="B81" s="1" t="s">
        <v>554</v>
      </c>
      <c r="C81" t="s">
        <v>532</v>
      </c>
      <c r="D81" t="s">
        <v>529</v>
      </c>
      <c r="E81" s="1" t="s">
        <v>381</v>
      </c>
    </row>
    <row r="82" spans="1:5">
      <c r="A82" s="3">
        <v>81</v>
      </c>
      <c r="B82" s="1" t="s">
        <v>58</v>
      </c>
      <c r="C82" t="s">
        <v>540</v>
      </c>
      <c r="D82" t="s">
        <v>529</v>
      </c>
      <c r="E82" s="1" t="s">
        <v>381</v>
      </c>
    </row>
    <row r="83" spans="1:5">
      <c r="A83" s="3">
        <v>82</v>
      </c>
      <c r="B83" s="1" t="s">
        <v>555</v>
      </c>
      <c r="C83" t="s">
        <v>534</v>
      </c>
      <c r="D83" t="s">
        <v>535</v>
      </c>
      <c r="E83" s="1" t="s">
        <v>381</v>
      </c>
    </row>
    <row r="84" spans="1:5">
      <c r="A84" s="3">
        <v>83</v>
      </c>
      <c r="B84" s="1" t="s">
        <v>72</v>
      </c>
      <c r="C84" t="s">
        <v>531</v>
      </c>
      <c r="D84" t="s">
        <v>528</v>
      </c>
      <c r="E84" s="1" t="s">
        <v>382</v>
      </c>
    </row>
    <row r="85" spans="1:5">
      <c r="A85" s="3">
        <v>84</v>
      </c>
      <c r="B85" s="1" t="s">
        <v>73</v>
      </c>
      <c r="C85" t="s">
        <v>543</v>
      </c>
      <c r="D85" t="s">
        <v>528</v>
      </c>
      <c r="E85" s="1" t="s">
        <v>382</v>
      </c>
    </row>
    <row r="86" spans="1:5">
      <c r="A86" s="3">
        <v>85</v>
      </c>
      <c r="B86" s="1" t="s">
        <v>74</v>
      </c>
      <c r="C86" t="s">
        <v>531</v>
      </c>
      <c r="D86" t="s">
        <v>528</v>
      </c>
      <c r="E86" s="1" t="s">
        <v>383</v>
      </c>
    </row>
    <row r="87" spans="1:5">
      <c r="A87" s="3">
        <v>86</v>
      </c>
      <c r="B87" s="1" t="s">
        <v>75</v>
      </c>
      <c r="C87" t="s">
        <v>534</v>
      </c>
      <c r="D87" t="s">
        <v>535</v>
      </c>
      <c r="E87" s="1" t="s">
        <v>383</v>
      </c>
    </row>
    <row r="88" spans="1:5">
      <c r="A88" s="3">
        <v>87</v>
      </c>
      <c r="B88" s="1" t="s">
        <v>76</v>
      </c>
      <c r="C88" t="s">
        <v>531</v>
      </c>
      <c r="D88" t="s">
        <v>528</v>
      </c>
      <c r="E88" s="1" t="s">
        <v>383</v>
      </c>
    </row>
    <row r="89" spans="1:5">
      <c r="A89" s="3">
        <v>88</v>
      </c>
      <c r="B89" s="1" t="s">
        <v>5</v>
      </c>
      <c r="C89" t="s">
        <v>534</v>
      </c>
      <c r="D89" t="s">
        <v>535</v>
      </c>
      <c r="E89" s="1" t="s">
        <v>383</v>
      </c>
    </row>
    <row r="90" spans="1:5">
      <c r="A90" s="3">
        <v>89</v>
      </c>
      <c r="B90" s="1" t="s">
        <v>77</v>
      </c>
      <c r="C90" t="s">
        <v>531</v>
      </c>
      <c r="D90" t="s">
        <v>528</v>
      </c>
      <c r="E90" s="1" t="s">
        <v>383</v>
      </c>
    </row>
    <row r="91" spans="1:5">
      <c r="A91" s="3">
        <v>90</v>
      </c>
      <c r="B91" s="1" t="s">
        <v>78</v>
      </c>
      <c r="C91" t="s">
        <v>538</v>
      </c>
      <c r="D91" t="s">
        <v>528</v>
      </c>
      <c r="E91" s="1" t="s">
        <v>384</v>
      </c>
    </row>
    <row r="92" spans="1:5">
      <c r="A92" s="3">
        <v>91</v>
      </c>
      <c r="B92" s="1" t="s">
        <v>39</v>
      </c>
      <c r="C92" t="s">
        <v>531</v>
      </c>
      <c r="D92" t="s">
        <v>528</v>
      </c>
      <c r="E92" s="1" t="s">
        <v>385</v>
      </c>
    </row>
    <row r="93" spans="1:5">
      <c r="A93" s="3">
        <v>92</v>
      </c>
      <c r="B93" s="1" t="s">
        <v>79</v>
      </c>
      <c r="C93" t="s">
        <v>533</v>
      </c>
      <c r="D93" t="s">
        <v>528</v>
      </c>
      <c r="E93" s="1" t="s">
        <v>385</v>
      </c>
    </row>
    <row r="94" spans="1:5">
      <c r="A94" s="3">
        <v>93</v>
      </c>
      <c r="B94" s="1" t="s">
        <v>80</v>
      </c>
      <c r="C94" t="s">
        <v>531</v>
      </c>
      <c r="D94" t="s">
        <v>528</v>
      </c>
      <c r="E94" s="1" t="s">
        <v>386</v>
      </c>
    </row>
    <row r="95" spans="1:5">
      <c r="A95" s="3">
        <v>94</v>
      </c>
      <c r="B95" s="1" t="s">
        <v>81</v>
      </c>
      <c r="C95" t="s">
        <v>532</v>
      </c>
      <c r="D95" t="s">
        <v>529</v>
      </c>
      <c r="E95" s="1" t="s">
        <v>386</v>
      </c>
    </row>
    <row r="96" spans="1:5">
      <c r="A96" s="3">
        <v>95</v>
      </c>
      <c r="B96" s="1" t="s">
        <v>82</v>
      </c>
      <c r="C96" t="s">
        <v>533</v>
      </c>
      <c r="D96" t="s">
        <v>528</v>
      </c>
      <c r="E96" s="1" t="s">
        <v>386</v>
      </c>
    </row>
    <row r="97" spans="1:5">
      <c r="A97" s="3">
        <v>96</v>
      </c>
      <c r="B97" s="1" t="s">
        <v>83</v>
      </c>
      <c r="C97" t="s">
        <v>531</v>
      </c>
      <c r="D97" t="s">
        <v>528</v>
      </c>
      <c r="E97" s="1" t="s">
        <v>386</v>
      </c>
    </row>
    <row r="98" spans="1:5">
      <c r="A98" s="3">
        <v>97</v>
      </c>
      <c r="B98" s="1" t="s">
        <v>84</v>
      </c>
      <c r="C98" t="s">
        <v>532</v>
      </c>
      <c r="D98" t="s">
        <v>529</v>
      </c>
      <c r="E98" s="1" t="s">
        <v>386</v>
      </c>
    </row>
    <row r="99" spans="1:5">
      <c r="A99" s="3">
        <v>98</v>
      </c>
      <c r="B99" s="1" t="s">
        <v>85</v>
      </c>
      <c r="C99" t="s">
        <v>543</v>
      </c>
      <c r="D99" t="s">
        <v>528</v>
      </c>
      <c r="E99" s="1" t="s">
        <v>387</v>
      </c>
    </row>
    <row r="100" spans="1:5">
      <c r="A100" s="3">
        <v>99</v>
      </c>
      <c r="B100" s="1" t="s">
        <v>86</v>
      </c>
      <c r="C100" t="s">
        <v>537</v>
      </c>
      <c r="D100" t="s">
        <v>528</v>
      </c>
      <c r="E100" s="1" t="s">
        <v>387</v>
      </c>
    </row>
    <row r="101" spans="1:5">
      <c r="A101" s="3">
        <v>100</v>
      </c>
      <c r="B101" s="1" t="s">
        <v>83</v>
      </c>
      <c r="C101" t="s">
        <v>531</v>
      </c>
      <c r="D101" t="s">
        <v>528</v>
      </c>
      <c r="E101" s="1" t="s">
        <v>387</v>
      </c>
    </row>
    <row r="102" spans="1:5">
      <c r="A102" s="3">
        <v>101</v>
      </c>
      <c r="B102" s="1" t="s">
        <v>87</v>
      </c>
      <c r="C102" t="s">
        <v>531</v>
      </c>
      <c r="D102" t="s">
        <v>528</v>
      </c>
      <c r="E102" s="1" t="s">
        <v>387</v>
      </c>
    </row>
    <row r="103" spans="1:5">
      <c r="A103" s="3">
        <v>102</v>
      </c>
      <c r="B103" s="1" t="s">
        <v>85</v>
      </c>
      <c r="C103" t="s">
        <v>543</v>
      </c>
      <c r="D103" t="s">
        <v>528</v>
      </c>
      <c r="E103" s="1" t="s">
        <v>388</v>
      </c>
    </row>
    <row r="104" spans="1:5">
      <c r="A104" s="3">
        <v>103</v>
      </c>
      <c r="B104" s="1" t="s">
        <v>88</v>
      </c>
      <c r="C104" t="s">
        <v>534</v>
      </c>
      <c r="D104" t="s">
        <v>535</v>
      </c>
      <c r="E104" s="1" t="s">
        <v>389</v>
      </c>
    </row>
    <row r="105" spans="1:5">
      <c r="A105" s="3">
        <v>104</v>
      </c>
      <c r="B105" s="1" t="s">
        <v>89</v>
      </c>
      <c r="C105" t="s">
        <v>534</v>
      </c>
      <c r="D105" t="s">
        <v>535</v>
      </c>
      <c r="E105" s="1" t="s">
        <v>390</v>
      </c>
    </row>
    <row r="106" spans="1:5">
      <c r="A106" s="3">
        <v>105</v>
      </c>
      <c r="B106" s="1" t="s">
        <v>556</v>
      </c>
      <c r="C106" t="s">
        <v>531</v>
      </c>
      <c r="D106" t="s">
        <v>528</v>
      </c>
      <c r="E106" s="1" t="s">
        <v>390</v>
      </c>
    </row>
    <row r="107" spans="1:5">
      <c r="A107" s="3">
        <v>106</v>
      </c>
      <c r="B107" s="1" t="s">
        <v>90</v>
      </c>
      <c r="C107" t="s">
        <v>534</v>
      </c>
      <c r="D107" t="s">
        <v>535</v>
      </c>
      <c r="E107" s="1" t="s">
        <v>391</v>
      </c>
    </row>
    <row r="108" spans="1:5">
      <c r="A108" s="3">
        <v>107</v>
      </c>
      <c r="B108" s="1" t="s">
        <v>91</v>
      </c>
      <c r="C108" t="s">
        <v>534</v>
      </c>
      <c r="D108" t="s">
        <v>535</v>
      </c>
      <c r="E108" s="1" t="s">
        <v>391</v>
      </c>
    </row>
    <row r="109" spans="1:5">
      <c r="A109" s="3">
        <v>108</v>
      </c>
      <c r="B109" s="1" t="s">
        <v>92</v>
      </c>
      <c r="C109" t="s">
        <v>533</v>
      </c>
      <c r="D109" t="s">
        <v>528</v>
      </c>
      <c r="E109" s="1" t="s">
        <v>392</v>
      </c>
    </row>
    <row r="110" spans="1:5">
      <c r="A110" s="3">
        <v>109</v>
      </c>
      <c r="B110" s="1" t="s">
        <v>93</v>
      </c>
      <c r="C110" t="s">
        <v>533</v>
      </c>
      <c r="D110" t="s">
        <v>528</v>
      </c>
      <c r="E110" s="1" t="s">
        <v>393</v>
      </c>
    </row>
    <row r="111" spans="1:5">
      <c r="A111" s="3">
        <v>110</v>
      </c>
      <c r="B111" s="1" t="s">
        <v>94</v>
      </c>
      <c r="C111" t="s">
        <v>532</v>
      </c>
      <c r="D111" t="s">
        <v>529</v>
      </c>
      <c r="E111" s="1" t="s">
        <v>393</v>
      </c>
    </row>
    <row r="112" spans="1:5">
      <c r="A112" s="3">
        <v>111</v>
      </c>
      <c r="B112" s="1" t="s">
        <v>95</v>
      </c>
      <c r="C112" t="s">
        <v>542</v>
      </c>
      <c r="D112" t="s">
        <v>528</v>
      </c>
      <c r="E112" s="1" t="s">
        <v>393</v>
      </c>
    </row>
    <row r="113" spans="1:5">
      <c r="A113" s="3">
        <v>112</v>
      </c>
      <c r="B113" s="1" t="s">
        <v>96</v>
      </c>
      <c r="C113" t="s">
        <v>533</v>
      </c>
      <c r="D113" t="s">
        <v>528</v>
      </c>
      <c r="E113" s="1" t="s">
        <v>394</v>
      </c>
    </row>
    <row r="114" spans="1:5">
      <c r="A114" s="3">
        <v>113</v>
      </c>
      <c r="B114" s="1" t="s">
        <v>97</v>
      </c>
      <c r="C114" t="s">
        <v>531</v>
      </c>
      <c r="D114" t="s">
        <v>528</v>
      </c>
      <c r="E114" s="1" t="s">
        <v>394</v>
      </c>
    </row>
    <row r="115" spans="1:5">
      <c r="A115" s="3">
        <v>114</v>
      </c>
      <c r="B115" s="1" t="s">
        <v>98</v>
      </c>
      <c r="C115" t="s">
        <v>531</v>
      </c>
      <c r="D115" t="s">
        <v>528</v>
      </c>
      <c r="E115" s="1" t="s">
        <v>394</v>
      </c>
    </row>
    <row r="116" spans="1:5">
      <c r="A116" s="3">
        <v>115</v>
      </c>
      <c r="B116" s="1" t="s">
        <v>99</v>
      </c>
      <c r="C116" t="s">
        <v>531</v>
      </c>
      <c r="D116" t="s">
        <v>528</v>
      </c>
      <c r="E116" s="1" t="s">
        <v>395</v>
      </c>
    </row>
    <row r="117" spans="1:5">
      <c r="A117" s="3">
        <v>116</v>
      </c>
      <c r="B117" s="1" t="s">
        <v>100</v>
      </c>
      <c r="C117" t="s">
        <v>532</v>
      </c>
      <c r="D117" t="s">
        <v>529</v>
      </c>
      <c r="E117" s="1" t="s">
        <v>395</v>
      </c>
    </row>
    <row r="118" spans="1:5">
      <c r="A118" s="3">
        <v>117</v>
      </c>
      <c r="B118" s="1" t="s">
        <v>101</v>
      </c>
      <c r="D118" t="s">
        <v>102</v>
      </c>
      <c r="E118" s="1" t="s">
        <v>395</v>
      </c>
    </row>
    <row r="119" spans="1:5">
      <c r="A119" s="3">
        <v>118</v>
      </c>
      <c r="B119" s="1" t="s">
        <v>103</v>
      </c>
      <c r="C119" t="s">
        <v>538</v>
      </c>
      <c r="D119" t="s">
        <v>528</v>
      </c>
      <c r="E119" s="1" t="s">
        <v>396</v>
      </c>
    </row>
    <row r="120" spans="1:5">
      <c r="A120" s="3">
        <v>119</v>
      </c>
      <c r="B120" s="1" t="s">
        <v>104</v>
      </c>
      <c r="C120" t="s">
        <v>534</v>
      </c>
      <c r="D120" t="s">
        <v>535</v>
      </c>
      <c r="E120" s="1" t="s">
        <v>396</v>
      </c>
    </row>
    <row r="121" spans="1:5">
      <c r="A121" s="3">
        <v>120</v>
      </c>
      <c r="B121" s="1" t="s">
        <v>105</v>
      </c>
      <c r="C121" t="s">
        <v>538</v>
      </c>
      <c r="D121" t="s">
        <v>528</v>
      </c>
      <c r="E121" s="1" t="s">
        <v>396</v>
      </c>
    </row>
    <row r="122" spans="1:5">
      <c r="A122" s="3">
        <v>121</v>
      </c>
      <c r="B122" s="1" t="s">
        <v>106</v>
      </c>
      <c r="C122" t="s">
        <v>536</v>
      </c>
      <c r="D122" t="s">
        <v>530</v>
      </c>
      <c r="E122" s="1" t="s">
        <v>396</v>
      </c>
    </row>
    <row r="123" spans="1:5">
      <c r="A123" s="3">
        <v>122</v>
      </c>
      <c r="B123" s="1" t="s">
        <v>107</v>
      </c>
      <c r="C123" t="s">
        <v>532</v>
      </c>
      <c r="D123" t="s">
        <v>529</v>
      </c>
      <c r="E123" s="1" t="s">
        <v>396</v>
      </c>
    </row>
    <row r="124" spans="1:5">
      <c r="A124" s="3">
        <v>123</v>
      </c>
      <c r="B124" s="1" t="s">
        <v>51</v>
      </c>
      <c r="C124" t="s">
        <v>538</v>
      </c>
      <c r="D124" t="s">
        <v>528</v>
      </c>
      <c r="E124" s="1" t="s">
        <v>396</v>
      </c>
    </row>
    <row r="125" spans="1:5">
      <c r="A125" s="3">
        <v>124</v>
      </c>
      <c r="B125" s="1" t="s">
        <v>108</v>
      </c>
      <c r="C125" t="s">
        <v>532</v>
      </c>
      <c r="D125" t="s">
        <v>529</v>
      </c>
      <c r="E125" s="1" t="s">
        <v>397</v>
      </c>
    </row>
    <row r="126" spans="1:5">
      <c r="A126" s="3">
        <v>125</v>
      </c>
      <c r="B126" s="1" t="s">
        <v>109</v>
      </c>
      <c r="C126" t="s">
        <v>531</v>
      </c>
      <c r="D126" t="s">
        <v>528</v>
      </c>
      <c r="E126" s="1" t="s">
        <v>397</v>
      </c>
    </row>
    <row r="127" spans="1:5">
      <c r="A127" s="3">
        <v>126</v>
      </c>
      <c r="B127" s="1" t="s">
        <v>110</v>
      </c>
      <c r="C127" t="s">
        <v>538</v>
      </c>
      <c r="D127" t="s">
        <v>528</v>
      </c>
      <c r="E127" s="1" t="s">
        <v>397</v>
      </c>
    </row>
    <row r="128" spans="1:5">
      <c r="A128" s="3">
        <v>127</v>
      </c>
      <c r="B128" s="1" t="s">
        <v>111</v>
      </c>
      <c r="C128" t="s">
        <v>531</v>
      </c>
      <c r="D128" t="s">
        <v>528</v>
      </c>
      <c r="E128" s="1" t="s">
        <v>398</v>
      </c>
    </row>
    <row r="129" spans="1:5">
      <c r="A129" s="3">
        <v>128</v>
      </c>
      <c r="B129" s="1" t="s">
        <v>112</v>
      </c>
      <c r="C129" t="s">
        <v>534</v>
      </c>
      <c r="D129" t="s">
        <v>535</v>
      </c>
      <c r="E129" s="1" t="s">
        <v>399</v>
      </c>
    </row>
    <row r="130" spans="1:5">
      <c r="A130" s="3">
        <v>129</v>
      </c>
      <c r="B130" s="1" t="s">
        <v>113</v>
      </c>
      <c r="C130" t="s">
        <v>533</v>
      </c>
      <c r="D130" t="s">
        <v>528</v>
      </c>
      <c r="E130" s="1" t="s">
        <v>399</v>
      </c>
    </row>
    <row r="131" spans="1:5">
      <c r="A131" s="3">
        <v>130</v>
      </c>
      <c r="B131" s="1" t="s">
        <v>114</v>
      </c>
      <c r="C131" t="s">
        <v>536</v>
      </c>
      <c r="D131" t="s">
        <v>530</v>
      </c>
      <c r="E131" s="1" t="s">
        <v>399</v>
      </c>
    </row>
    <row r="132" spans="1:5">
      <c r="A132" s="3">
        <v>131</v>
      </c>
      <c r="B132" s="1" t="s">
        <v>115</v>
      </c>
      <c r="C132" t="s">
        <v>533</v>
      </c>
      <c r="D132" t="s">
        <v>528</v>
      </c>
      <c r="E132" s="1" t="s">
        <v>400</v>
      </c>
    </row>
    <row r="133" spans="1:5">
      <c r="A133" s="3">
        <v>132</v>
      </c>
      <c r="B133" s="1" t="s">
        <v>116</v>
      </c>
      <c r="C133" t="s">
        <v>544</v>
      </c>
      <c r="D133" t="s">
        <v>529</v>
      </c>
      <c r="E133" s="1" t="s">
        <v>400</v>
      </c>
    </row>
    <row r="134" spans="1:5">
      <c r="A134" s="3">
        <v>133</v>
      </c>
      <c r="B134" s="1" t="s">
        <v>117</v>
      </c>
      <c r="C134" t="s">
        <v>536</v>
      </c>
      <c r="D134" t="s">
        <v>530</v>
      </c>
      <c r="E134" s="1" t="s">
        <v>400</v>
      </c>
    </row>
    <row r="135" spans="1:5">
      <c r="A135" s="3">
        <v>134</v>
      </c>
      <c r="B135" s="1" t="s">
        <v>118</v>
      </c>
      <c r="C135" t="s">
        <v>531</v>
      </c>
      <c r="D135" t="s">
        <v>528</v>
      </c>
      <c r="E135" s="1" t="s">
        <v>401</v>
      </c>
    </row>
    <row r="136" spans="1:5">
      <c r="A136" s="3">
        <v>135</v>
      </c>
      <c r="B136" s="1" t="s">
        <v>119</v>
      </c>
      <c r="C136" t="s">
        <v>531</v>
      </c>
      <c r="D136" t="s">
        <v>528</v>
      </c>
      <c r="E136" s="1" t="s">
        <v>402</v>
      </c>
    </row>
    <row r="137" spans="1:5">
      <c r="A137" s="3">
        <v>136</v>
      </c>
      <c r="B137" s="1" t="s">
        <v>120</v>
      </c>
      <c r="C137" t="s">
        <v>543</v>
      </c>
      <c r="D137" t="s">
        <v>528</v>
      </c>
      <c r="E137" s="1" t="s">
        <v>402</v>
      </c>
    </row>
    <row r="138" spans="1:5">
      <c r="A138" s="3">
        <v>137</v>
      </c>
      <c r="B138" s="1" t="s">
        <v>121</v>
      </c>
      <c r="C138" t="s">
        <v>531</v>
      </c>
      <c r="D138" t="s">
        <v>528</v>
      </c>
      <c r="E138" s="1" t="s">
        <v>403</v>
      </c>
    </row>
    <row r="139" spans="1:5">
      <c r="A139" s="3">
        <v>138</v>
      </c>
      <c r="B139" s="1" t="s">
        <v>122</v>
      </c>
      <c r="C139" t="s">
        <v>545</v>
      </c>
      <c r="D139" t="s">
        <v>529</v>
      </c>
      <c r="E139" s="1" t="s">
        <v>403</v>
      </c>
    </row>
    <row r="140" spans="1:5">
      <c r="A140" s="3">
        <v>139</v>
      </c>
      <c r="B140" s="1" t="s">
        <v>123</v>
      </c>
      <c r="C140" t="s">
        <v>531</v>
      </c>
      <c r="D140" t="s">
        <v>528</v>
      </c>
      <c r="E140" s="1" t="s">
        <v>404</v>
      </c>
    </row>
    <row r="141" spans="1:5">
      <c r="A141" s="3">
        <v>140</v>
      </c>
      <c r="B141" s="1" t="s">
        <v>124</v>
      </c>
      <c r="C141" t="s">
        <v>533</v>
      </c>
      <c r="D141" t="s">
        <v>528</v>
      </c>
      <c r="E141" s="1" t="s">
        <v>405</v>
      </c>
    </row>
    <row r="142" spans="1:5">
      <c r="A142" s="3">
        <v>141</v>
      </c>
      <c r="B142" s="1" t="s">
        <v>125</v>
      </c>
      <c r="C142" t="s">
        <v>531</v>
      </c>
      <c r="D142" t="s">
        <v>528</v>
      </c>
      <c r="E142" s="1" t="s">
        <v>405</v>
      </c>
    </row>
    <row r="143" spans="1:5">
      <c r="A143" s="3">
        <v>142</v>
      </c>
      <c r="B143" s="1" t="s">
        <v>126</v>
      </c>
      <c r="C143" t="s">
        <v>532</v>
      </c>
      <c r="D143" t="s">
        <v>529</v>
      </c>
      <c r="E143" s="1" t="s">
        <v>406</v>
      </c>
    </row>
    <row r="144" spans="1:5">
      <c r="A144" s="3">
        <v>143</v>
      </c>
      <c r="B144" s="1" t="s">
        <v>127</v>
      </c>
      <c r="C144" t="s">
        <v>533</v>
      </c>
      <c r="D144" t="s">
        <v>528</v>
      </c>
      <c r="E144" s="1" t="s">
        <v>406</v>
      </c>
    </row>
    <row r="145" spans="1:5">
      <c r="A145" s="3">
        <v>144</v>
      </c>
      <c r="B145" s="1" t="s">
        <v>128</v>
      </c>
      <c r="C145" t="s">
        <v>533</v>
      </c>
      <c r="D145" t="s">
        <v>528</v>
      </c>
      <c r="E145" s="1" t="s">
        <v>407</v>
      </c>
    </row>
    <row r="146" spans="1:5">
      <c r="A146" s="3">
        <v>145</v>
      </c>
      <c r="B146" s="1" t="s">
        <v>129</v>
      </c>
      <c r="C146" t="s">
        <v>533</v>
      </c>
      <c r="D146" t="s">
        <v>528</v>
      </c>
      <c r="E146" s="1" t="s">
        <v>407</v>
      </c>
    </row>
    <row r="147" spans="1:5">
      <c r="A147" s="3">
        <v>146</v>
      </c>
      <c r="B147" s="1" t="s">
        <v>130</v>
      </c>
      <c r="C147" t="s">
        <v>546</v>
      </c>
      <c r="D147" t="s">
        <v>529</v>
      </c>
      <c r="E147" s="1" t="s">
        <v>407</v>
      </c>
    </row>
    <row r="148" spans="1:5">
      <c r="A148" s="3">
        <v>147</v>
      </c>
      <c r="B148" s="1" t="s">
        <v>131</v>
      </c>
      <c r="C148" t="s">
        <v>532</v>
      </c>
      <c r="D148" t="s">
        <v>529</v>
      </c>
      <c r="E148" s="1" t="s">
        <v>408</v>
      </c>
    </row>
    <row r="149" spans="1:5">
      <c r="A149" s="3">
        <v>148</v>
      </c>
      <c r="B149" s="1" t="s">
        <v>132</v>
      </c>
      <c r="C149" t="s">
        <v>536</v>
      </c>
      <c r="D149" t="s">
        <v>530</v>
      </c>
      <c r="E149" s="1" t="s">
        <v>408</v>
      </c>
    </row>
    <row r="150" spans="1:5">
      <c r="A150" s="3">
        <v>149</v>
      </c>
      <c r="B150" s="1" t="s">
        <v>133</v>
      </c>
      <c r="C150" t="s">
        <v>531</v>
      </c>
      <c r="D150" t="s">
        <v>528</v>
      </c>
      <c r="E150" s="1" t="s">
        <v>408</v>
      </c>
    </row>
    <row r="151" spans="1:5">
      <c r="A151" s="3">
        <v>150</v>
      </c>
      <c r="B151" s="1" t="s">
        <v>134</v>
      </c>
      <c r="C151" t="s">
        <v>532</v>
      </c>
      <c r="D151" t="s">
        <v>529</v>
      </c>
      <c r="E151" s="1" t="s">
        <v>409</v>
      </c>
    </row>
    <row r="152" spans="1:5">
      <c r="A152" s="3">
        <v>151</v>
      </c>
      <c r="B152" s="1" t="s">
        <v>135</v>
      </c>
      <c r="C152" t="s">
        <v>536</v>
      </c>
      <c r="D152" t="s">
        <v>530</v>
      </c>
      <c r="E152" s="1" t="s">
        <v>409</v>
      </c>
    </row>
    <row r="153" spans="1:5">
      <c r="A153" s="3">
        <v>152</v>
      </c>
      <c r="B153" s="1" t="s">
        <v>136</v>
      </c>
      <c r="C153" t="s">
        <v>531</v>
      </c>
      <c r="D153" t="s">
        <v>528</v>
      </c>
      <c r="E153" s="1" t="s">
        <v>410</v>
      </c>
    </row>
    <row r="154" spans="1:5">
      <c r="A154" s="3">
        <v>153</v>
      </c>
      <c r="B154" s="1" t="s">
        <v>137</v>
      </c>
      <c r="C154" t="s">
        <v>540</v>
      </c>
      <c r="D154" t="s">
        <v>529</v>
      </c>
      <c r="E154" s="1" t="s">
        <v>410</v>
      </c>
    </row>
    <row r="155" spans="1:5">
      <c r="A155" s="3">
        <v>154</v>
      </c>
      <c r="B155" s="1" t="s">
        <v>138</v>
      </c>
      <c r="C155" t="s">
        <v>532</v>
      </c>
      <c r="D155" t="s">
        <v>529</v>
      </c>
      <c r="E155" s="1" t="s">
        <v>410</v>
      </c>
    </row>
    <row r="156" spans="1:5">
      <c r="A156" s="3">
        <v>155</v>
      </c>
      <c r="B156" s="1" t="s">
        <v>126</v>
      </c>
      <c r="C156" t="s">
        <v>532</v>
      </c>
      <c r="D156" t="s">
        <v>529</v>
      </c>
      <c r="E156" s="1" t="s">
        <v>411</v>
      </c>
    </row>
    <row r="157" spans="1:5">
      <c r="A157" s="3">
        <v>156</v>
      </c>
      <c r="B157" s="1" t="s">
        <v>139</v>
      </c>
      <c r="C157" t="s">
        <v>533</v>
      </c>
      <c r="D157" t="s">
        <v>528</v>
      </c>
      <c r="E157" s="1" t="s">
        <v>411</v>
      </c>
    </row>
    <row r="158" spans="1:5">
      <c r="A158" s="3">
        <v>157</v>
      </c>
      <c r="B158" s="1" t="s">
        <v>140</v>
      </c>
      <c r="C158" t="s">
        <v>532</v>
      </c>
      <c r="D158" t="s">
        <v>529</v>
      </c>
      <c r="E158" s="1" t="s">
        <v>412</v>
      </c>
    </row>
    <row r="159" spans="1:5">
      <c r="A159" s="3">
        <v>158</v>
      </c>
      <c r="B159" s="1" t="s">
        <v>141</v>
      </c>
      <c r="C159" t="s">
        <v>547</v>
      </c>
      <c r="D159" t="s">
        <v>535</v>
      </c>
      <c r="E159" s="1" t="s">
        <v>413</v>
      </c>
    </row>
    <row r="160" spans="1:5">
      <c r="A160" s="3">
        <v>159</v>
      </c>
      <c r="B160" s="1" t="s">
        <v>136</v>
      </c>
      <c r="C160" t="s">
        <v>531</v>
      </c>
      <c r="D160" t="s">
        <v>528</v>
      </c>
      <c r="E160" s="1" t="s">
        <v>414</v>
      </c>
    </row>
    <row r="161" spans="1:5">
      <c r="A161" s="3">
        <v>160</v>
      </c>
      <c r="B161" s="1" t="s">
        <v>142</v>
      </c>
      <c r="C161" t="s">
        <v>531</v>
      </c>
      <c r="D161" t="s">
        <v>528</v>
      </c>
      <c r="E161" s="1" t="s">
        <v>414</v>
      </c>
    </row>
    <row r="162" spans="1:5">
      <c r="A162" s="3">
        <v>161</v>
      </c>
      <c r="B162" s="1" t="s">
        <v>143</v>
      </c>
      <c r="C162" t="s">
        <v>531</v>
      </c>
      <c r="D162" t="s">
        <v>528</v>
      </c>
      <c r="E162" s="1" t="s">
        <v>415</v>
      </c>
    </row>
    <row r="163" spans="1:5">
      <c r="A163" s="3">
        <v>162</v>
      </c>
      <c r="B163" s="1" t="s">
        <v>144</v>
      </c>
      <c r="C163" t="s">
        <v>531</v>
      </c>
      <c r="D163" t="s">
        <v>528</v>
      </c>
      <c r="E163" s="1" t="s">
        <v>415</v>
      </c>
    </row>
    <row r="164" spans="1:5">
      <c r="A164" s="3">
        <v>163</v>
      </c>
      <c r="B164" s="1" t="s">
        <v>145</v>
      </c>
      <c r="C164" t="s">
        <v>538</v>
      </c>
      <c r="D164" t="s">
        <v>528</v>
      </c>
      <c r="E164" s="1" t="s">
        <v>416</v>
      </c>
    </row>
    <row r="165" spans="1:5">
      <c r="A165" s="3">
        <v>164</v>
      </c>
      <c r="B165" s="1" t="s">
        <v>146</v>
      </c>
      <c r="C165" t="s">
        <v>531</v>
      </c>
      <c r="D165" t="s">
        <v>528</v>
      </c>
      <c r="E165" s="1" t="s">
        <v>416</v>
      </c>
    </row>
    <row r="166" spans="1:5">
      <c r="A166" s="3">
        <v>165</v>
      </c>
      <c r="B166" s="1" t="s">
        <v>79</v>
      </c>
      <c r="C166" t="s">
        <v>533</v>
      </c>
      <c r="D166" t="s">
        <v>528</v>
      </c>
      <c r="E166" s="1" t="s">
        <v>416</v>
      </c>
    </row>
    <row r="167" spans="1:5">
      <c r="A167" s="3">
        <v>166</v>
      </c>
      <c r="B167" s="1" t="s">
        <v>147</v>
      </c>
      <c r="C167" t="s">
        <v>548</v>
      </c>
      <c r="D167" t="s">
        <v>530</v>
      </c>
      <c r="E167" s="1" t="s">
        <v>417</v>
      </c>
    </row>
    <row r="168" spans="1:5">
      <c r="A168" s="3">
        <v>167</v>
      </c>
      <c r="B168" s="1" t="s">
        <v>148</v>
      </c>
      <c r="C168" t="s">
        <v>534</v>
      </c>
      <c r="D168" t="s">
        <v>535</v>
      </c>
      <c r="E168" s="1" t="s">
        <v>418</v>
      </c>
    </row>
    <row r="169" spans="1:5">
      <c r="A169" s="3">
        <v>168</v>
      </c>
      <c r="B169" s="1" t="s">
        <v>149</v>
      </c>
      <c r="C169" t="s">
        <v>531</v>
      </c>
      <c r="D169" t="s">
        <v>528</v>
      </c>
      <c r="E169" s="1" t="s">
        <v>419</v>
      </c>
    </row>
    <row r="170" spans="1:5">
      <c r="A170" s="3">
        <v>169</v>
      </c>
      <c r="B170" s="1" t="s">
        <v>150</v>
      </c>
      <c r="C170" t="s">
        <v>534</v>
      </c>
      <c r="D170" t="s">
        <v>535</v>
      </c>
      <c r="E170" s="1" t="s">
        <v>419</v>
      </c>
    </row>
    <row r="171" spans="1:5">
      <c r="A171" s="3">
        <v>170</v>
      </c>
      <c r="B171" s="1" t="s">
        <v>151</v>
      </c>
      <c r="C171" t="s">
        <v>531</v>
      </c>
      <c r="D171" t="s">
        <v>528</v>
      </c>
      <c r="E171" s="1" t="s">
        <v>419</v>
      </c>
    </row>
    <row r="172" spans="1:5">
      <c r="A172" s="3">
        <v>171</v>
      </c>
      <c r="B172" s="1" t="s">
        <v>152</v>
      </c>
      <c r="C172" t="s">
        <v>538</v>
      </c>
      <c r="D172" t="s">
        <v>528</v>
      </c>
      <c r="E172" s="1" t="s">
        <v>419</v>
      </c>
    </row>
    <row r="173" spans="1:5">
      <c r="A173" s="3">
        <v>172</v>
      </c>
      <c r="B173" s="1" t="s">
        <v>153</v>
      </c>
      <c r="C173" t="s">
        <v>538</v>
      </c>
      <c r="D173" t="s">
        <v>528</v>
      </c>
      <c r="E173" s="1" t="s">
        <v>419</v>
      </c>
    </row>
    <row r="174" spans="1:5">
      <c r="A174" s="3">
        <v>173</v>
      </c>
      <c r="B174" s="1" t="s">
        <v>154</v>
      </c>
      <c r="C174" t="s">
        <v>531</v>
      </c>
      <c r="D174" t="s">
        <v>528</v>
      </c>
      <c r="E174" s="1" t="s">
        <v>420</v>
      </c>
    </row>
    <row r="175" spans="1:5">
      <c r="A175" s="3">
        <v>174</v>
      </c>
      <c r="B175" s="1" t="s">
        <v>155</v>
      </c>
      <c r="C175" t="s">
        <v>533</v>
      </c>
      <c r="D175" t="s">
        <v>528</v>
      </c>
      <c r="E175" s="1" t="s">
        <v>420</v>
      </c>
    </row>
    <row r="176" spans="1:5">
      <c r="A176" s="3">
        <v>175</v>
      </c>
      <c r="B176" s="1" t="s">
        <v>125</v>
      </c>
      <c r="C176" t="s">
        <v>531</v>
      </c>
      <c r="D176" t="s">
        <v>528</v>
      </c>
      <c r="E176" s="1" t="s">
        <v>420</v>
      </c>
    </row>
    <row r="177" spans="1:5">
      <c r="A177" s="3">
        <v>176</v>
      </c>
      <c r="B177" s="1" t="s">
        <v>58</v>
      </c>
      <c r="C177" t="s">
        <v>544</v>
      </c>
      <c r="D177" t="s">
        <v>529</v>
      </c>
      <c r="E177" s="1" t="s">
        <v>421</v>
      </c>
    </row>
    <row r="178" spans="1:5">
      <c r="A178" s="3">
        <v>177</v>
      </c>
      <c r="B178" s="1" t="s">
        <v>156</v>
      </c>
      <c r="C178" t="s">
        <v>531</v>
      </c>
      <c r="D178" t="s">
        <v>528</v>
      </c>
      <c r="E178" s="1" t="s">
        <v>421</v>
      </c>
    </row>
    <row r="179" spans="1:5">
      <c r="A179" s="3">
        <v>178</v>
      </c>
      <c r="B179" s="1" t="s">
        <v>157</v>
      </c>
      <c r="C179" t="s">
        <v>532</v>
      </c>
      <c r="D179" t="s">
        <v>529</v>
      </c>
      <c r="E179" s="1" t="s">
        <v>421</v>
      </c>
    </row>
    <row r="180" spans="1:5">
      <c r="A180" s="3">
        <v>179</v>
      </c>
      <c r="B180" s="1" t="s">
        <v>158</v>
      </c>
      <c r="C180" t="s">
        <v>531</v>
      </c>
      <c r="D180" t="s">
        <v>528</v>
      </c>
      <c r="E180" s="1" t="s">
        <v>422</v>
      </c>
    </row>
    <row r="181" spans="1:5">
      <c r="A181" s="3">
        <v>180</v>
      </c>
      <c r="B181" s="1" t="s">
        <v>58</v>
      </c>
      <c r="C181" t="s">
        <v>544</v>
      </c>
      <c r="D181" t="s">
        <v>529</v>
      </c>
      <c r="E181" s="1" t="s">
        <v>422</v>
      </c>
    </row>
    <row r="182" spans="1:5">
      <c r="A182" s="3">
        <v>181</v>
      </c>
      <c r="B182" s="1" t="s">
        <v>159</v>
      </c>
      <c r="C182" t="s">
        <v>531</v>
      </c>
      <c r="D182" t="s">
        <v>528</v>
      </c>
      <c r="E182" s="1" t="s">
        <v>422</v>
      </c>
    </row>
    <row r="183" spans="1:5">
      <c r="A183" s="3">
        <v>182</v>
      </c>
      <c r="B183" s="1" t="s">
        <v>160</v>
      </c>
      <c r="C183" t="s">
        <v>532</v>
      </c>
      <c r="D183" t="s">
        <v>529</v>
      </c>
      <c r="E183" s="1" t="s">
        <v>423</v>
      </c>
    </row>
    <row r="184" spans="1:5">
      <c r="A184" s="3">
        <v>183</v>
      </c>
      <c r="B184" s="1" t="s">
        <v>161</v>
      </c>
      <c r="C184" t="s">
        <v>532</v>
      </c>
      <c r="D184" t="s">
        <v>529</v>
      </c>
      <c r="E184" s="1" t="s">
        <v>423</v>
      </c>
    </row>
    <row r="185" spans="1:5">
      <c r="A185" s="3">
        <v>184</v>
      </c>
      <c r="B185" s="1" t="s">
        <v>132</v>
      </c>
      <c r="C185" t="s">
        <v>536</v>
      </c>
      <c r="D185" t="s">
        <v>530</v>
      </c>
      <c r="E185" s="1" t="s">
        <v>423</v>
      </c>
    </row>
    <row r="186" spans="1:5">
      <c r="A186" s="3">
        <v>185</v>
      </c>
      <c r="B186" s="1" t="s">
        <v>162</v>
      </c>
      <c r="C186" t="s">
        <v>531</v>
      </c>
      <c r="D186" t="s">
        <v>528</v>
      </c>
      <c r="E186" s="1" t="s">
        <v>424</v>
      </c>
    </row>
    <row r="187" spans="1:5">
      <c r="A187" s="3">
        <v>186</v>
      </c>
      <c r="B187" s="1" t="s">
        <v>163</v>
      </c>
      <c r="C187" t="s">
        <v>532</v>
      </c>
      <c r="D187" t="s">
        <v>529</v>
      </c>
      <c r="E187" s="1" t="s">
        <v>425</v>
      </c>
    </row>
    <row r="188" spans="1:5">
      <c r="A188" s="3">
        <v>187</v>
      </c>
      <c r="B188" s="1" t="s">
        <v>164</v>
      </c>
      <c r="C188" t="s">
        <v>537</v>
      </c>
      <c r="D188" t="s">
        <v>528</v>
      </c>
      <c r="E188" s="1" t="s">
        <v>425</v>
      </c>
    </row>
    <row r="189" spans="1:5">
      <c r="A189" s="3">
        <v>188</v>
      </c>
      <c r="B189" s="1" t="s">
        <v>165</v>
      </c>
      <c r="C189" t="s">
        <v>538</v>
      </c>
      <c r="D189" t="s">
        <v>528</v>
      </c>
      <c r="E189" s="1" t="s">
        <v>425</v>
      </c>
    </row>
    <row r="190" spans="1:5">
      <c r="A190" s="3">
        <v>189</v>
      </c>
      <c r="B190" s="1" t="s">
        <v>35</v>
      </c>
      <c r="C190" t="s">
        <v>532</v>
      </c>
      <c r="D190" t="s">
        <v>529</v>
      </c>
      <c r="E190" s="1" t="s">
        <v>425</v>
      </c>
    </row>
    <row r="191" spans="1:5">
      <c r="A191" s="3">
        <v>190</v>
      </c>
      <c r="B191" s="1" t="s">
        <v>166</v>
      </c>
      <c r="C191" t="s">
        <v>532</v>
      </c>
      <c r="D191" t="s">
        <v>529</v>
      </c>
      <c r="E191" s="1" t="s">
        <v>426</v>
      </c>
    </row>
    <row r="192" spans="1:5">
      <c r="A192" s="3">
        <v>191</v>
      </c>
      <c r="B192" s="1" t="s">
        <v>167</v>
      </c>
      <c r="C192" t="s">
        <v>543</v>
      </c>
      <c r="D192" t="s">
        <v>528</v>
      </c>
      <c r="E192" s="1" t="s">
        <v>426</v>
      </c>
    </row>
    <row r="193" spans="1:5">
      <c r="A193" s="3">
        <v>192</v>
      </c>
      <c r="B193" s="1" t="s">
        <v>168</v>
      </c>
      <c r="C193" t="s">
        <v>531</v>
      </c>
      <c r="D193" t="s">
        <v>528</v>
      </c>
      <c r="E193" s="1" t="s">
        <v>426</v>
      </c>
    </row>
    <row r="194" spans="1:5">
      <c r="A194" s="3">
        <v>193</v>
      </c>
      <c r="B194" s="1" t="s">
        <v>169</v>
      </c>
      <c r="C194" t="s">
        <v>544</v>
      </c>
      <c r="D194" t="s">
        <v>529</v>
      </c>
      <c r="E194" s="1" t="s">
        <v>426</v>
      </c>
    </row>
    <row r="195" spans="1:5">
      <c r="A195" s="3">
        <v>194</v>
      </c>
      <c r="B195" s="1" t="s">
        <v>170</v>
      </c>
      <c r="C195" t="s">
        <v>545</v>
      </c>
      <c r="D195" t="s">
        <v>529</v>
      </c>
      <c r="E195" s="1" t="s">
        <v>427</v>
      </c>
    </row>
    <row r="196" spans="1:5">
      <c r="A196" s="3">
        <v>195</v>
      </c>
      <c r="B196" s="1" t="s">
        <v>171</v>
      </c>
      <c r="C196" t="s">
        <v>548</v>
      </c>
      <c r="D196" t="s">
        <v>530</v>
      </c>
      <c r="E196" s="1" t="s">
        <v>427</v>
      </c>
    </row>
    <row r="197" spans="1:5">
      <c r="A197" s="3">
        <v>196</v>
      </c>
      <c r="B197" s="1" t="s">
        <v>166</v>
      </c>
      <c r="C197" t="s">
        <v>532</v>
      </c>
      <c r="D197" t="s">
        <v>529</v>
      </c>
      <c r="E197" s="1" t="s">
        <v>428</v>
      </c>
    </row>
    <row r="198" spans="1:5">
      <c r="A198" s="3">
        <v>197</v>
      </c>
      <c r="B198" s="1" t="s">
        <v>172</v>
      </c>
      <c r="C198" t="s">
        <v>531</v>
      </c>
      <c r="D198" t="s">
        <v>528</v>
      </c>
      <c r="E198" s="1" t="s">
        <v>428</v>
      </c>
    </row>
    <row r="199" spans="1:5">
      <c r="A199" s="3">
        <v>198</v>
      </c>
      <c r="B199" s="1" t="s">
        <v>173</v>
      </c>
      <c r="C199" t="s">
        <v>532</v>
      </c>
      <c r="D199" t="s">
        <v>529</v>
      </c>
      <c r="E199" s="1" t="s">
        <v>429</v>
      </c>
    </row>
    <row r="200" spans="1:5">
      <c r="A200" s="3">
        <v>199</v>
      </c>
      <c r="B200" s="1" t="s">
        <v>174</v>
      </c>
      <c r="C200" t="s">
        <v>531</v>
      </c>
      <c r="D200" t="s">
        <v>528</v>
      </c>
      <c r="E200" s="1" t="s">
        <v>429</v>
      </c>
    </row>
    <row r="201" spans="1:5">
      <c r="A201" s="3">
        <v>200</v>
      </c>
      <c r="B201" s="1" t="s">
        <v>175</v>
      </c>
      <c r="C201" t="s">
        <v>531</v>
      </c>
      <c r="D201" t="s">
        <v>528</v>
      </c>
      <c r="E201" s="1" t="s">
        <v>429</v>
      </c>
    </row>
    <row r="202" spans="1:5">
      <c r="A202" s="3">
        <v>201</v>
      </c>
      <c r="B202" s="1" t="s">
        <v>176</v>
      </c>
      <c r="C202" t="s">
        <v>549</v>
      </c>
      <c r="D202" t="s">
        <v>528</v>
      </c>
      <c r="E202" s="1" t="s">
        <v>430</v>
      </c>
    </row>
    <row r="203" spans="1:5">
      <c r="A203" s="3">
        <v>202</v>
      </c>
      <c r="B203" s="1" t="s">
        <v>177</v>
      </c>
      <c r="C203" t="s">
        <v>538</v>
      </c>
      <c r="D203" t="s">
        <v>528</v>
      </c>
      <c r="E203" s="1" t="s">
        <v>430</v>
      </c>
    </row>
    <row r="204" spans="1:5">
      <c r="A204" s="3">
        <v>203</v>
      </c>
      <c r="B204" s="1" t="s">
        <v>120</v>
      </c>
      <c r="C204" t="s">
        <v>531</v>
      </c>
      <c r="D204" t="s">
        <v>528</v>
      </c>
      <c r="E204" s="1" t="s">
        <v>431</v>
      </c>
    </row>
    <row r="205" spans="1:5">
      <c r="A205" s="3">
        <v>204</v>
      </c>
      <c r="B205" s="1" t="s">
        <v>178</v>
      </c>
      <c r="C205" t="s">
        <v>532</v>
      </c>
      <c r="D205" t="s">
        <v>529</v>
      </c>
      <c r="E205" s="1" t="s">
        <v>432</v>
      </c>
    </row>
    <row r="206" spans="1:5">
      <c r="A206" s="3">
        <v>205</v>
      </c>
      <c r="B206" s="1" t="s">
        <v>179</v>
      </c>
      <c r="C206" t="s">
        <v>533</v>
      </c>
      <c r="D206" t="s">
        <v>528</v>
      </c>
      <c r="E206" s="1" t="s">
        <v>432</v>
      </c>
    </row>
    <row r="207" spans="1:5">
      <c r="A207" s="3">
        <v>206</v>
      </c>
      <c r="B207" s="1" t="s">
        <v>180</v>
      </c>
      <c r="C207" t="s">
        <v>531</v>
      </c>
      <c r="D207" t="s">
        <v>528</v>
      </c>
      <c r="E207" s="1" t="s">
        <v>432</v>
      </c>
    </row>
    <row r="208" spans="1:5">
      <c r="A208" s="3">
        <v>207</v>
      </c>
      <c r="B208" s="1" t="s">
        <v>35</v>
      </c>
      <c r="C208" t="s">
        <v>532</v>
      </c>
      <c r="D208" t="s">
        <v>529</v>
      </c>
      <c r="E208" s="1" t="s">
        <v>433</v>
      </c>
    </row>
    <row r="209" spans="1:5">
      <c r="A209" s="3">
        <v>208</v>
      </c>
      <c r="B209" s="1" t="s">
        <v>181</v>
      </c>
      <c r="C209" t="s">
        <v>532</v>
      </c>
      <c r="D209" t="s">
        <v>529</v>
      </c>
      <c r="E209" s="1" t="s">
        <v>433</v>
      </c>
    </row>
    <row r="210" spans="1:5">
      <c r="A210" s="3">
        <v>209</v>
      </c>
      <c r="B210" s="1" t="s">
        <v>182</v>
      </c>
      <c r="C210" t="s">
        <v>534</v>
      </c>
      <c r="D210" t="s">
        <v>535</v>
      </c>
      <c r="E210" s="1" t="s">
        <v>433</v>
      </c>
    </row>
    <row r="211" spans="1:5">
      <c r="A211" s="3">
        <v>210</v>
      </c>
      <c r="B211" s="1" t="s">
        <v>144</v>
      </c>
      <c r="C211" t="s">
        <v>531</v>
      </c>
      <c r="D211" t="s">
        <v>528</v>
      </c>
      <c r="E211" s="1" t="s">
        <v>433</v>
      </c>
    </row>
    <row r="212" spans="1:5">
      <c r="A212" s="3">
        <v>211</v>
      </c>
      <c r="B212" s="1" t="s">
        <v>183</v>
      </c>
      <c r="C212" t="s">
        <v>532</v>
      </c>
      <c r="D212" t="s">
        <v>529</v>
      </c>
      <c r="E212" s="1" t="s">
        <v>434</v>
      </c>
    </row>
    <row r="213" spans="1:5">
      <c r="A213" s="3">
        <v>212</v>
      </c>
      <c r="B213" s="1" t="s">
        <v>184</v>
      </c>
      <c r="C213" t="s">
        <v>534</v>
      </c>
      <c r="D213" t="s">
        <v>535</v>
      </c>
      <c r="E213" s="1" t="s">
        <v>435</v>
      </c>
    </row>
    <row r="214" spans="1:5">
      <c r="A214" s="3">
        <v>213</v>
      </c>
      <c r="B214" s="1" t="s">
        <v>185</v>
      </c>
      <c r="C214" t="s">
        <v>549</v>
      </c>
      <c r="D214" t="s">
        <v>528</v>
      </c>
      <c r="E214" s="1" t="s">
        <v>435</v>
      </c>
    </row>
    <row r="215" spans="1:5">
      <c r="A215" s="3">
        <v>214</v>
      </c>
      <c r="B215" s="1" t="s">
        <v>35</v>
      </c>
      <c r="C215" t="s">
        <v>532</v>
      </c>
      <c r="D215" t="s">
        <v>529</v>
      </c>
      <c r="E215" s="1" t="s">
        <v>436</v>
      </c>
    </row>
    <row r="216" spans="1:5">
      <c r="A216" s="3">
        <v>215</v>
      </c>
      <c r="B216" s="1" t="s">
        <v>120</v>
      </c>
      <c r="C216" t="s">
        <v>531</v>
      </c>
      <c r="D216" t="s">
        <v>528</v>
      </c>
      <c r="E216" s="1" t="s">
        <v>436</v>
      </c>
    </row>
    <row r="217" spans="1:5">
      <c r="A217" s="3">
        <v>216</v>
      </c>
      <c r="B217" s="1" t="s">
        <v>186</v>
      </c>
      <c r="C217" t="s">
        <v>531</v>
      </c>
      <c r="D217" t="s">
        <v>528</v>
      </c>
      <c r="E217" s="1" t="s">
        <v>436</v>
      </c>
    </row>
    <row r="218" spans="1:5">
      <c r="A218" s="3">
        <v>217</v>
      </c>
      <c r="B218" s="1" t="s">
        <v>187</v>
      </c>
      <c r="C218" t="s">
        <v>533</v>
      </c>
      <c r="D218" t="s">
        <v>528</v>
      </c>
      <c r="E218" s="1" t="s">
        <v>437</v>
      </c>
    </row>
    <row r="219" spans="1:5">
      <c r="A219" s="3">
        <v>218</v>
      </c>
      <c r="B219" s="1" t="s">
        <v>188</v>
      </c>
      <c r="C219" t="s">
        <v>533</v>
      </c>
      <c r="D219" t="s">
        <v>528</v>
      </c>
      <c r="E219" s="1" t="s">
        <v>437</v>
      </c>
    </row>
    <row r="220" spans="1:5">
      <c r="A220" s="3">
        <v>219</v>
      </c>
      <c r="B220" s="1" t="s">
        <v>189</v>
      </c>
      <c r="C220" t="s">
        <v>531</v>
      </c>
      <c r="D220" t="s">
        <v>528</v>
      </c>
      <c r="E220" s="1" t="s">
        <v>437</v>
      </c>
    </row>
    <row r="221" spans="1:5">
      <c r="A221" s="3">
        <v>220</v>
      </c>
      <c r="B221" s="1" t="s">
        <v>180</v>
      </c>
      <c r="C221" t="s">
        <v>531</v>
      </c>
      <c r="D221" t="s">
        <v>528</v>
      </c>
      <c r="E221" s="1" t="s">
        <v>438</v>
      </c>
    </row>
    <row r="222" spans="1:5">
      <c r="A222" s="3">
        <v>221</v>
      </c>
      <c r="B222" s="1" t="s">
        <v>190</v>
      </c>
      <c r="C222" t="s">
        <v>532</v>
      </c>
      <c r="D222" t="s">
        <v>529</v>
      </c>
      <c r="E222" s="1" t="s">
        <v>438</v>
      </c>
    </row>
    <row r="223" spans="1:5">
      <c r="A223" s="3">
        <v>222</v>
      </c>
      <c r="B223" s="1" t="s">
        <v>178</v>
      </c>
      <c r="C223" t="s">
        <v>532</v>
      </c>
      <c r="D223" t="s">
        <v>529</v>
      </c>
      <c r="E223" s="1" t="s">
        <v>439</v>
      </c>
    </row>
    <row r="224" spans="1:5">
      <c r="A224" s="3">
        <v>223</v>
      </c>
      <c r="B224" s="1" t="s">
        <v>557</v>
      </c>
      <c r="C224" t="s">
        <v>532</v>
      </c>
      <c r="D224" t="s">
        <v>529</v>
      </c>
      <c r="E224" s="1" t="s">
        <v>440</v>
      </c>
    </row>
    <row r="225" spans="1:5">
      <c r="A225" s="3">
        <v>224</v>
      </c>
      <c r="B225" s="1" t="s">
        <v>191</v>
      </c>
      <c r="C225" t="s">
        <v>531</v>
      </c>
      <c r="D225" t="s">
        <v>528</v>
      </c>
      <c r="E225" s="1" t="s">
        <v>441</v>
      </c>
    </row>
    <row r="226" spans="1:5">
      <c r="A226" s="3">
        <v>225</v>
      </c>
      <c r="B226" s="1" t="s">
        <v>192</v>
      </c>
      <c r="C226" t="s">
        <v>551</v>
      </c>
      <c r="D226" t="s">
        <v>530</v>
      </c>
      <c r="E226" s="1" t="s">
        <v>441</v>
      </c>
    </row>
    <row r="227" spans="1:5">
      <c r="A227" s="3">
        <v>226</v>
      </c>
      <c r="B227" s="1" t="s">
        <v>558</v>
      </c>
      <c r="C227" t="s">
        <v>531</v>
      </c>
      <c r="D227" t="s">
        <v>528</v>
      </c>
      <c r="E227" s="1" t="s">
        <v>441</v>
      </c>
    </row>
    <row r="228" spans="1:5">
      <c r="A228" s="3">
        <v>227</v>
      </c>
      <c r="B228" s="1" t="s">
        <v>193</v>
      </c>
      <c r="C228" t="s">
        <v>532</v>
      </c>
      <c r="D228" t="s">
        <v>529</v>
      </c>
      <c r="E228" s="1" t="s">
        <v>442</v>
      </c>
    </row>
    <row r="229" spans="1:5">
      <c r="A229" s="3">
        <v>228</v>
      </c>
      <c r="B229" s="1" t="s">
        <v>194</v>
      </c>
      <c r="C229" t="s">
        <v>531</v>
      </c>
      <c r="D229" t="s">
        <v>528</v>
      </c>
      <c r="E229" s="1" t="s">
        <v>443</v>
      </c>
    </row>
    <row r="230" spans="1:5">
      <c r="A230" s="3">
        <v>229</v>
      </c>
      <c r="B230" s="1" t="s">
        <v>195</v>
      </c>
      <c r="C230" t="s">
        <v>534</v>
      </c>
      <c r="D230" t="s">
        <v>535</v>
      </c>
      <c r="E230" s="1" t="s">
        <v>443</v>
      </c>
    </row>
    <row r="231" spans="1:5">
      <c r="A231" s="3">
        <v>230</v>
      </c>
      <c r="B231" s="1" t="s">
        <v>196</v>
      </c>
      <c r="C231" t="s">
        <v>531</v>
      </c>
      <c r="D231" t="s">
        <v>528</v>
      </c>
      <c r="E231" s="1" t="s">
        <v>443</v>
      </c>
    </row>
    <row r="232" spans="1:5">
      <c r="A232" s="3">
        <v>231</v>
      </c>
      <c r="B232" s="1" t="s">
        <v>197</v>
      </c>
      <c r="C232" t="s">
        <v>534</v>
      </c>
      <c r="D232" t="s">
        <v>535</v>
      </c>
      <c r="E232" s="1" t="s">
        <v>443</v>
      </c>
    </row>
    <row r="233" spans="1:5">
      <c r="A233" s="3">
        <v>232</v>
      </c>
      <c r="B233" s="1" t="s">
        <v>198</v>
      </c>
      <c r="C233" t="s">
        <v>531</v>
      </c>
      <c r="D233" t="s">
        <v>528</v>
      </c>
      <c r="E233" s="1" t="s">
        <v>443</v>
      </c>
    </row>
    <row r="234" spans="1:5">
      <c r="A234" s="3">
        <v>233</v>
      </c>
      <c r="B234" s="1" t="s">
        <v>199</v>
      </c>
      <c r="C234" t="s">
        <v>538</v>
      </c>
      <c r="D234" t="s">
        <v>528</v>
      </c>
      <c r="E234" s="1" t="s">
        <v>443</v>
      </c>
    </row>
    <row r="235" spans="1:5">
      <c r="A235" s="3">
        <v>234</v>
      </c>
      <c r="B235" s="1" t="s">
        <v>200</v>
      </c>
      <c r="C235" t="s">
        <v>531</v>
      </c>
      <c r="D235" t="s">
        <v>528</v>
      </c>
      <c r="E235" s="1" t="s">
        <v>444</v>
      </c>
    </row>
    <row r="236" spans="1:5">
      <c r="A236" s="3">
        <v>235</v>
      </c>
      <c r="B236" s="1" t="s">
        <v>199</v>
      </c>
      <c r="C236" t="s">
        <v>538</v>
      </c>
      <c r="D236" t="s">
        <v>528</v>
      </c>
      <c r="E236" s="1" t="s">
        <v>444</v>
      </c>
    </row>
    <row r="237" spans="1:5">
      <c r="A237" s="3">
        <v>236</v>
      </c>
      <c r="B237" s="1" t="s">
        <v>201</v>
      </c>
      <c r="C237" t="s">
        <v>534</v>
      </c>
      <c r="D237" t="s">
        <v>535</v>
      </c>
      <c r="E237" s="1" t="s">
        <v>445</v>
      </c>
    </row>
    <row r="238" spans="1:5">
      <c r="A238" s="3">
        <v>237</v>
      </c>
      <c r="B238" s="1" t="s">
        <v>202</v>
      </c>
      <c r="C238" t="s">
        <v>531</v>
      </c>
      <c r="D238" t="s">
        <v>528</v>
      </c>
      <c r="E238" s="1" t="s">
        <v>446</v>
      </c>
    </row>
    <row r="239" spans="1:5">
      <c r="A239" s="3">
        <v>238</v>
      </c>
      <c r="B239" s="1" t="s">
        <v>198</v>
      </c>
      <c r="C239" t="s">
        <v>531</v>
      </c>
      <c r="D239" t="s">
        <v>528</v>
      </c>
      <c r="E239" s="1" t="s">
        <v>446</v>
      </c>
    </row>
    <row r="240" spans="1:5">
      <c r="A240" s="3">
        <v>239</v>
      </c>
      <c r="B240" s="1" t="s">
        <v>199</v>
      </c>
      <c r="C240" t="s">
        <v>538</v>
      </c>
      <c r="D240" t="s">
        <v>528</v>
      </c>
      <c r="E240" s="1" t="s">
        <v>446</v>
      </c>
    </row>
    <row r="241" spans="1:5">
      <c r="A241" s="3">
        <v>240</v>
      </c>
      <c r="B241" s="1" t="s">
        <v>203</v>
      </c>
      <c r="C241" t="s">
        <v>534</v>
      </c>
      <c r="D241" t="s">
        <v>535</v>
      </c>
      <c r="E241" s="1" t="s">
        <v>447</v>
      </c>
    </row>
    <row r="242" spans="1:5">
      <c r="A242" s="3">
        <v>241</v>
      </c>
      <c r="B242" s="1" t="s">
        <v>204</v>
      </c>
      <c r="C242" t="s">
        <v>531</v>
      </c>
      <c r="D242" t="s">
        <v>528</v>
      </c>
      <c r="E242" s="1" t="s">
        <v>448</v>
      </c>
    </row>
    <row r="243" spans="1:5">
      <c r="A243" s="3">
        <v>242</v>
      </c>
      <c r="B243" s="1" t="s">
        <v>205</v>
      </c>
      <c r="C243" t="s">
        <v>549</v>
      </c>
      <c r="D243" t="s">
        <v>528</v>
      </c>
      <c r="E243" s="1" t="s">
        <v>448</v>
      </c>
    </row>
    <row r="244" spans="1:5">
      <c r="A244" s="3">
        <v>243</v>
      </c>
      <c r="B244" s="1" t="s">
        <v>559</v>
      </c>
      <c r="C244" t="s">
        <v>533</v>
      </c>
      <c r="D244" t="s">
        <v>528</v>
      </c>
      <c r="E244" s="1" t="s">
        <v>449</v>
      </c>
    </row>
    <row r="245" spans="1:5">
      <c r="A245" s="3">
        <v>244</v>
      </c>
      <c r="B245" s="1" t="s">
        <v>206</v>
      </c>
      <c r="C245" t="s">
        <v>546</v>
      </c>
      <c r="D245" t="s">
        <v>529</v>
      </c>
      <c r="E245" s="1" t="s">
        <v>450</v>
      </c>
    </row>
    <row r="246" spans="1:5">
      <c r="A246" s="3">
        <v>245</v>
      </c>
      <c r="B246" s="1" t="s">
        <v>207</v>
      </c>
      <c r="C246" t="s">
        <v>533</v>
      </c>
      <c r="D246" t="s">
        <v>528</v>
      </c>
      <c r="E246" s="1" t="s">
        <v>450</v>
      </c>
    </row>
    <row r="247" spans="1:5">
      <c r="A247" s="3">
        <v>246</v>
      </c>
      <c r="B247" s="1" t="s">
        <v>208</v>
      </c>
      <c r="C247" t="s">
        <v>536</v>
      </c>
      <c r="D247" t="s">
        <v>530</v>
      </c>
      <c r="E247" s="1" t="s">
        <v>450</v>
      </c>
    </row>
    <row r="248" spans="1:5">
      <c r="A248" s="3">
        <v>247</v>
      </c>
      <c r="B248" s="1" t="s">
        <v>209</v>
      </c>
      <c r="C248" t="s">
        <v>543</v>
      </c>
      <c r="D248" t="s">
        <v>528</v>
      </c>
      <c r="E248" s="1" t="s">
        <v>451</v>
      </c>
    </row>
    <row r="249" spans="1:5">
      <c r="A249" s="3">
        <v>248</v>
      </c>
      <c r="B249" s="1" t="s">
        <v>210</v>
      </c>
      <c r="C249" t="s">
        <v>546</v>
      </c>
      <c r="D249" t="s">
        <v>529</v>
      </c>
      <c r="E249" s="1" t="s">
        <v>452</v>
      </c>
    </row>
    <row r="250" spans="1:5">
      <c r="A250" s="3">
        <v>249</v>
      </c>
      <c r="B250" s="1" t="s">
        <v>211</v>
      </c>
      <c r="C250" t="s">
        <v>538</v>
      </c>
      <c r="D250" t="s">
        <v>528</v>
      </c>
      <c r="E250" s="1" t="s">
        <v>453</v>
      </c>
    </row>
    <row r="251" spans="1:5">
      <c r="A251" s="3">
        <v>250</v>
      </c>
      <c r="B251" s="1" t="s">
        <v>560</v>
      </c>
      <c r="C251" t="s">
        <v>531</v>
      </c>
      <c r="D251" t="s">
        <v>528</v>
      </c>
      <c r="E251" s="1" t="s">
        <v>453</v>
      </c>
    </row>
    <row r="252" spans="1:5">
      <c r="A252" s="3">
        <v>251</v>
      </c>
      <c r="B252" s="1" t="s">
        <v>561</v>
      </c>
      <c r="C252" t="s">
        <v>531</v>
      </c>
      <c r="D252" t="s">
        <v>528</v>
      </c>
      <c r="E252" s="1" t="s">
        <v>453</v>
      </c>
    </row>
    <row r="253" spans="1:5">
      <c r="A253" s="3">
        <v>252</v>
      </c>
      <c r="B253" s="1" t="s">
        <v>212</v>
      </c>
      <c r="C253" t="s">
        <v>546</v>
      </c>
      <c r="D253" t="s">
        <v>529</v>
      </c>
      <c r="E253" s="1" t="s">
        <v>454</v>
      </c>
    </row>
    <row r="254" spans="1:5">
      <c r="A254" s="3">
        <v>253</v>
      </c>
      <c r="B254" s="1" t="s">
        <v>213</v>
      </c>
      <c r="C254" t="s">
        <v>533</v>
      </c>
      <c r="D254" t="s">
        <v>528</v>
      </c>
      <c r="E254" s="1" t="s">
        <v>454</v>
      </c>
    </row>
    <row r="255" spans="1:5">
      <c r="A255" s="3">
        <v>254</v>
      </c>
      <c r="B255" s="1" t="s">
        <v>209</v>
      </c>
      <c r="C255" t="s">
        <v>543</v>
      </c>
      <c r="D255" t="s">
        <v>528</v>
      </c>
      <c r="E255" s="1" t="s">
        <v>455</v>
      </c>
    </row>
    <row r="256" spans="1:5">
      <c r="A256" s="3">
        <v>255</v>
      </c>
      <c r="B256" s="1" t="s">
        <v>214</v>
      </c>
      <c r="C256" t="s">
        <v>550</v>
      </c>
      <c r="D256" t="s">
        <v>528</v>
      </c>
      <c r="E256" s="1" t="s">
        <v>456</v>
      </c>
    </row>
    <row r="257" spans="1:5">
      <c r="A257" s="3">
        <v>256</v>
      </c>
      <c r="B257" s="1" t="s">
        <v>215</v>
      </c>
      <c r="C257" t="s">
        <v>546</v>
      </c>
      <c r="D257" t="s">
        <v>529</v>
      </c>
      <c r="E257" s="1" t="s">
        <v>456</v>
      </c>
    </row>
    <row r="258" spans="1:5">
      <c r="A258" s="3">
        <v>257</v>
      </c>
      <c r="B258" s="1" t="s">
        <v>216</v>
      </c>
      <c r="C258" t="s">
        <v>531</v>
      </c>
      <c r="D258" t="s">
        <v>528</v>
      </c>
      <c r="E258" s="1" t="s">
        <v>456</v>
      </c>
    </row>
    <row r="259" spans="1:5">
      <c r="A259" s="3">
        <v>258</v>
      </c>
      <c r="B259" s="1" t="s">
        <v>201</v>
      </c>
      <c r="C259" t="s">
        <v>534</v>
      </c>
      <c r="D259" t="s">
        <v>535</v>
      </c>
      <c r="E259" s="1" t="s">
        <v>456</v>
      </c>
    </row>
    <row r="260" spans="1:5">
      <c r="A260" s="3">
        <v>259</v>
      </c>
      <c r="B260" s="1" t="s">
        <v>217</v>
      </c>
      <c r="C260" t="s">
        <v>531</v>
      </c>
      <c r="D260" t="s">
        <v>528</v>
      </c>
      <c r="E260" s="1" t="s">
        <v>457</v>
      </c>
    </row>
    <row r="261" spans="1:5">
      <c r="A261" s="3">
        <v>260</v>
      </c>
      <c r="B261" s="1" t="s">
        <v>218</v>
      </c>
      <c r="C261" t="s">
        <v>537</v>
      </c>
      <c r="D261" t="s">
        <v>528</v>
      </c>
      <c r="E261" s="1" t="s">
        <v>457</v>
      </c>
    </row>
    <row r="262" spans="1:5">
      <c r="A262" s="3">
        <v>261</v>
      </c>
      <c r="B262" s="1" t="s">
        <v>219</v>
      </c>
      <c r="C262" t="s">
        <v>546</v>
      </c>
      <c r="D262" t="s">
        <v>529</v>
      </c>
      <c r="E262" s="1" t="s">
        <v>458</v>
      </c>
    </row>
    <row r="263" spans="1:5">
      <c r="A263" s="3">
        <v>262</v>
      </c>
      <c r="B263" s="1" t="s">
        <v>220</v>
      </c>
      <c r="C263" t="s">
        <v>549</v>
      </c>
      <c r="D263" t="s">
        <v>528</v>
      </c>
      <c r="E263" s="1" t="s">
        <v>458</v>
      </c>
    </row>
    <row r="264" spans="1:5">
      <c r="A264" s="3">
        <v>263</v>
      </c>
      <c r="B264" s="1" t="s">
        <v>221</v>
      </c>
      <c r="C264" t="s">
        <v>533</v>
      </c>
      <c r="D264" t="s">
        <v>528</v>
      </c>
      <c r="E264" s="1" t="s">
        <v>459</v>
      </c>
    </row>
    <row r="265" spans="1:5">
      <c r="A265" s="3">
        <v>264</v>
      </c>
      <c r="B265" s="1" t="s">
        <v>222</v>
      </c>
      <c r="C265" t="s">
        <v>546</v>
      </c>
      <c r="D265" t="s">
        <v>529</v>
      </c>
      <c r="E265" s="1" t="s">
        <v>459</v>
      </c>
    </row>
    <row r="266" spans="1:5">
      <c r="A266" s="3">
        <v>265</v>
      </c>
      <c r="B266" s="1" t="s">
        <v>223</v>
      </c>
      <c r="C266" t="s">
        <v>545</v>
      </c>
      <c r="D266" t="s">
        <v>529</v>
      </c>
      <c r="E266" s="1" t="s">
        <v>459</v>
      </c>
    </row>
    <row r="267" spans="1:5">
      <c r="A267" s="3">
        <v>266</v>
      </c>
      <c r="B267" s="1" t="s">
        <v>224</v>
      </c>
      <c r="C267" t="s">
        <v>536</v>
      </c>
      <c r="D267" t="s">
        <v>530</v>
      </c>
      <c r="E267" s="1" t="s">
        <v>459</v>
      </c>
    </row>
    <row r="268" spans="1:5">
      <c r="A268" s="3">
        <v>267</v>
      </c>
      <c r="B268" s="1" t="s">
        <v>225</v>
      </c>
      <c r="C268" t="s">
        <v>546</v>
      </c>
      <c r="D268" t="s">
        <v>529</v>
      </c>
      <c r="E268" s="1" t="s">
        <v>460</v>
      </c>
    </row>
    <row r="269" spans="1:5">
      <c r="A269" s="3">
        <v>268</v>
      </c>
      <c r="B269" s="1" t="s">
        <v>226</v>
      </c>
      <c r="C269" t="s">
        <v>545</v>
      </c>
      <c r="D269" t="s">
        <v>529</v>
      </c>
      <c r="E269" s="1" t="s">
        <v>460</v>
      </c>
    </row>
    <row r="270" spans="1:5">
      <c r="A270" s="3">
        <v>269</v>
      </c>
      <c r="B270" s="1" t="s">
        <v>178</v>
      </c>
      <c r="C270" t="s">
        <v>546</v>
      </c>
      <c r="D270" t="s">
        <v>529</v>
      </c>
      <c r="E270" s="1" t="s">
        <v>461</v>
      </c>
    </row>
    <row r="271" spans="1:5">
      <c r="A271" s="3">
        <v>270</v>
      </c>
      <c r="B271" s="1" t="s">
        <v>227</v>
      </c>
      <c r="C271" t="s">
        <v>548</v>
      </c>
      <c r="D271" t="s">
        <v>530</v>
      </c>
      <c r="E271" s="1" t="s">
        <v>461</v>
      </c>
    </row>
    <row r="272" spans="1:5">
      <c r="A272" s="3">
        <v>271</v>
      </c>
      <c r="B272" s="1" t="s">
        <v>228</v>
      </c>
      <c r="C272" t="s">
        <v>546</v>
      </c>
      <c r="D272" t="s">
        <v>529</v>
      </c>
      <c r="E272" s="1" t="s">
        <v>461</v>
      </c>
    </row>
    <row r="273" spans="1:5">
      <c r="A273" s="3">
        <v>272</v>
      </c>
      <c r="B273" s="1" t="s">
        <v>229</v>
      </c>
      <c r="C273" t="s">
        <v>549</v>
      </c>
      <c r="D273" t="s">
        <v>528</v>
      </c>
      <c r="E273" s="1" t="s">
        <v>461</v>
      </c>
    </row>
    <row r="274" spans="1:5">
      <c r="A274" s="3">
        <v>273</v>
      </c>
      <c r="B274" s="1" t="s">
        <v>171</v>
      </c>
      <c r="C274" t="s">
        <v>548</v>
      </c>
      <c r="D274" t="s">
        <v>530</v>
      </c>
      <c r="E274" s="1" t="s">
        <v>462</v>
      </c>
    </row>
    <row r="275" spans="1:5">
      <c r="A275" s="3">
        <v>274</v>
      </c>
      <c r="B275" s="1" t="s">
        <v>230</v>
      </c>
      <c r="C275" t="s">
        <v>531</v>
      </c>
      <c r="D275" t="s">
        <v>528</v>
      </c>
      <c r="E275" s="1" t="s">
        <v>462</v>
      </c>
    </row>
    <row r="276" spans="1:5">
      <c r="A276" s="3">
        <v>275</v>
      </c>
      <c r="B276" s="1" t="s">
        <v>231</v>
      </c>
      <c r="C276" t="s">
        <v>531</v>
      </c>
      <c r="D276" t="s">
        <v>528</v>
      </c>
      <c r="E276" s="1" t="s">
        <v>462</v>
      </c>
    </row>
    <row r="277" spans="1:5">
      <c r="A277" s="3">
        <v>276</v>
      </c>
      <c r="B277" s="1" t="s">
        <v>232</v>
      </c>
      <c r="C277" t="s">
        <v>546</v>
      </c>
      <c r="D277" t="s">
        <v>529</v>
      </c>
      <c r="E277" s="1" t="s">
        <v>463</v>
      </c>
    </row>
    <row r="278" spans="1:5">
      <c r="A278" s="3">
        <v>277</v>
      </c>
      <c r="B278" s="1" t="s">
        <v>233</v>
      </c>
      <c r="C278" t="s">
        <v>531</v>
      </c>
      <c r="D278" t="s">
        <v>528</v>
      </c>
      <c r="E278" s="1" t="s">
        <v>464</v>
      </c>
    </row>
    <row r="279" spans="1:5">
      <c r="A279" s="3">
        <v>278</v>
      </c>
      <c r="B279" s="1" t="s">
        <v>234</v>
      </c>
      <c r="C279" t="s">
        <v>538</v>
      </c>
      <c r="D279" t="s">
        <v>528</v>
      </c>
      <c r="E279" s="1" t="s">
        <v>464</v>
      </c>
    </row>
    <row r="280" spans="1:5">
      <c r="A280" s="3">
        <v>279</v>
      </c>
      <c r="B280" s="1" t="s">
        <v>235</v>
      </c>
      <c r="C280" t="s">
        <v>533</v>
      </c>
      <c r="D280" t="s">
        <v>528</v>
      </c>
      <c r="E280" s="1" t="s">
        <v>465</v>
      </c>
    </row>
    <row r="281" spans="1:5">
      <c r="A281" s="3">
        <v>280</v>
      </c>
      <c r="B281" s="1" t="s">
        <v>236</v>
      </c>
      <c r="C281" t="s">
        <v>548</v>
      </c>
      <c r="D281" t="s">
        <v>530</v>
      </c>
      <c r="E281" s="1" t="s">
        <v>465</v>
      </c>
    </row>
    <row r="282" spans="1:5">
      <c r="A282" s="3">
        <v>281</v>
      </c>
      <c r="B282" s="1" t="s">
        <v>562</v>
      </c>
      <c r="C282" t="s">
        <v>548</v>
      </c>
      <c r="D282" t="s">
        <v>530</v>
      </c>
      <c r="E282" s="1" t="s">
        <v>465</v>
      </c>
    </row>
    <row r="283" spans="1:5">
      <c r="A283" s="3">
        <v>282</v>
      </c>
      <c r="B283" s="1" t="s">
        <v>237</v>
      </c>
      <c r="C283" t="s">
        <v>531</v>
      </c>
      <c r="D283" t="s">
        <v>528</v>
      </c>
      <c r="E283" s="1" t="s">
        <v>465</v>
      </c>
    </row>
    <row r="284" spans="1:5">
      <c r="A284" s="3">
        <v>283</v>
      </c>
      <c r="B284" s="1" t="s">
        <v>238</v>
      </c>
      <c r="C284" t="s">
        <v>546</v>
      </c>
      <c r="D284" t="s">
        <v>529</v>
      </c>
      <c r="E284" s="1" t="s">
        <v>466</v>
      </c>
    </row>
    <row r="285" spans="1:5">
      <c r="A285" s="3">
        <v>284</v>
      </c>
      <c r="B285" s="1" t="s">
        <v>239</v>
      </c>
      <c r="C285" t="s">
        <v>533</v>
      </c>
      <c r="D285" t="s">
        <v>528</v>
      </c>
      <c r="E285" s="1" t="s">
        <v>467</v>
      </c>
    </row>
    <row r="286" spans="1:5">
      <c r="A286" s="3">
        <v>285</v>
      </c>
      <c r="B286" s="1" t="s">
        <v>240</v>
      </c>
      <c r="C286" t="s">
        <v>531</v>
      </c>
      <c r="D286" t="s">
        <v>528</v>
      </c>
      <c r="E286" s="1" t="s">
        <v>467</v>
      </c>
    </row>
    <row r="287" spans="1:5">
      <c r="A287" s="3">
        <v>286</v>
      </c>
      <c r="B287" s="1" t="s">
        <v>241</v>
      </c>
      <c r="C287" t="s">
        <v>531</v>
      </c>
      <c r="D287" t="s">
        <v>528</v>
      </c>
      <c r="E287" s="1" t="s">
        <v>468</v>
      </c>
    </row>
    <row r="288" spans="1:5">
      <c r="A288" s="3">
        <v>287</v>
      </c>
      <c r="B288" s="1" t="s">
        <v>242</v>
      </c>
      <c r="C288" t="s">
        <v>538</v>
      </c>
      <c r="D288" t="s">
        <v>528</v>
      </c>
      <c r="E288" s="1" t="s">
        <v>469</v>
      </c>
    </row>
    <row r="289" spans="1:5">
      <c r="A289" s="3">
        <v>288</v>
      </c>
      <c r="B289" s="1" t="s">
        <v>243</v>
      </c>
      <c r="C289" t="s">
        <v>546</v>
      </c>
      <c r="D289" t="s">
        <v>529</v>
      </c>
      <c r="E289" s="1" t="s">
        <v>469</v>
      </c>
    </row>
    <row r="290" spans="1:5">
      <c r="A290" s="3">
        <v>289</v>
      </c>
      <c r="B290" s="1" t="s">
        <v>244</v>
      </c>
      <c r="C290" t="s">
        <v>533</v>
      </c>
      <c r="D290" t="s">
        <v>528</v>
      </c>
      <c r="E290" s="1" t="s">
        <v>470</v>
      </c>
    </row>
    <row r="291" spans="1:5">
      <c r="A291" s="3">
        <v>290</v>
      </c>
      <c r="B291" s="1" t="s">
        <v>563</v>
      </c>
      <c r="C291" t="s">
        <v>546</v>
      </c>
      <c r="D291" t="s">
        <v>529</v>
      </c>
      <c r="E291" s="1" t="s">
        <v>470</v>
      </c>
    </row>
    <row r="292" spans="1:5">
      <c r="A292" s="3">
        <v>291</v>
      </c>
      <c r="B292" s="1" t="s">
        <v>245</v>
      </c>
      <c r="C292" t="s">
        <v>533</v>
      </c>
      <c r="D292" t="s">
        <v>528</v>
      </c>
      <c r="E292" s="1" t="s">
        <v>471</v>
      </c>
    </row>
    <row r="293" spans="1:5">
      <c r="A293" s="3">
        <v>292</v>
      </c>
      <c r="B293" s="1" t="s">
        <v>199</v>
      </c>
      <c r="C293" t="s">
        <v>538</v>
      </c>
      <c r="D293" t="s">
        <v>528</v>
      </c>
      <c r="E293" s="1" t="s">
        <v>471</v>
      </c>
    </row>
    <row r="294" spans="1:5">
      <c r="A294" s="3">
        <v>293</v>
      </c>
      <c r="B294" s="1" t="s">
        <v>564</v>
      </c>
      <c r="C294" t="s">
        <v>531</v>
      </c>
      <c r="D294" t="s">
        <v>528</v>
      </c>
      <c r="E294" s="1" t="s">
        <v>472</v>
      </c>
    </row>
    <row r="295" spans="1:5">
      <c r="A295" s="3">
        <v>294</v>
      </c>
      <c r="B295" s="1" t="s">
        <v>565</v>
      </c>
      <c r="C295" t="s">
        <v>538</v>
      </c>
      <c r="D295" t="s">
        <v>528</v>
      </c>
      <c r="E295" s="1" t="s">
        <v>472</v>
      </c>
    </row>
    <row r="296" spans="1:5">
      <c r="A296" s="3">
        <v>295</v>
      </c>
      <c r="B296" s="1" t="s">
        <v>246</v>
      </c>
      <c r="C296" t="s">
        <v>546</v>
      </c>
      <c r="D296" t="s">
        <v>529</v>
      </c>
      <c r="E296" s="1" t="s">
        <v>473</v>
      </c>
    </row>
    <row r="297" spans="1:5">
      <c r="A297" s="3">
        <v>296</v>
      </c>
      <c r="B297" s="1" t="s">
        <v>247</v>
      </c>
      <c r="C297" t="s">
        <v>543</v>
      </c>
      <c r="D297" t="s">
        <v>528</v>
      </c>
      <c r="E297" s="1" t="s">
        <v>473</v>
      </c>
    </row>
    <row r="298" spans="1:5">
      <c r="A298" s="3">
        <v>297</v>
      </c>
      <c r="B298" s="1" t="s">
        <v>258</v>
      </c>
      <c r="C298" t="s">
        <v>538</v>
      </c>
      <c r="D298" t="s">
        <v>528</v>
      </c>
      <c r="E298" s="1" t="s">
        <v>474</v>
      </c>
    </row>
    <row r="299" spans="1:5">
      <c r="A299" s="3">
        <v>298</v>
      </c>
      <c r="B299" s="1" t="s">
        <v>248</v>
      </c>
      <c r="C299" t="s">
        <v>538</v>
      </c>
      <c r="D299" t="s">
        <v>528</v>
      </c>
      <c r="E299" s="1" t="s">
        <v>474</v>
      </c>
    </row>
    <row r="300" spans="1:5">
      <c r="A300" s="3">
        <v>299</v>
      </c>
      <c r="B300" s="1" t="s">
        <v>249</v>
      </c>
      <c r="C300" t="s">
        <v>534</v>
      </c>
      <c r="D300" t="s">
        <v>535</v>
      </c>
      <c r="E300" s="1" t="s">
        <v>474</v>
      </c>
    </row>
    <row r="301" spans="1:5">
      <c r="A301" s="3">
        <v>300</v>
      </c>
      <c r="B301" s="1" t="s">
        <v>250</v>
      </c>
      <c r="C301" t="s">
        <v>546</v>
      </c>
      <c r="D301" t="s">
        <v>529</v>
      </c>
      <c r="E301" s="1" t="s">
        <v>475</v>
      </c>
    </row>
    <row r="302" spans="1:5">
      <c r="A302" s="3">
        <v>301</v>
      </c>
      <c r="B302" s="1" t="s">
        <v>248</v>
      </c>
      <c r="C302" t="s">
        <v>538</v>
      </c>
      <c r="D302" t="s">
        <v>528</v>
      </c>
      <c r="E302" s="1" t="s">
        <v>475</v>
      </c>
    </row>
    <row r="303" spans="1:5">
      <c r="A303" s="3">
        <v>302</v>
      </c>
      <c r="B303" s="1" t="s">
        <v>566</v>
      </c>
      <c r="C303" t="s">
        <v>531</v>
      </c>
      <c r="D303" t="s">
        <v>528</v>
      </c>
      <c r="E303" s="1" t="s">
        <v>476</v>
      </c>
    </row>
    <row r="304" spans="1:5">
      <c r="A304" s="3">
        <v>303</v>
      </c>
      <c r="B304" s="1" t="s">
        <v>567</v>
      </c>
      <c r="C304" t="s">
        <v>531</v>
      </c>
      <c r="D304" t="s">
        <v>528</v>
      </c>
      <c r="E304" s="1" t="s">
        <v>476</v>
      </c>
    </row>
    <row r="305" spans="1:5">
      <c r="A305" s="3">
        <v>304</v>
      </c>
      <c r="B305" s="1" t="s">
        <v>251</v>
      </c>
      <c r="C305" t="s">
        <v>549</v>
      </c>
      <c r="D305" t="s">
        <v>528</v>
      </c>
      <c r="E305" s="1" t="s">
        <v>477</v>
      </c>
    </row>
    <row r="306" spans="1:5">
      <c r="A306" s="3">
        <v>305</v>
      </c>
      <c r="B306" s="1" t="s">
        <v>252</v>
      </c>
      <c r="C306" t="s">
        <v>531</v>
      </c>
      <c r="D306" t="s">
        <v>528</v>
      </c>
      <c r="E306" s="1" t="s">
        <v>477</v>
      </c>
    </row>
    <row r="307" spans="1:5">
      <c r="A307" s="3">
        <v>306</v>
      </c>
      <c r="B307" s="1" t="s">
        <v>253</v>
      </c>
      <c r="C307" t="s">
        <v>531</v>
      </c>
      <c r="D307" t="s">
        <v>528</v>
      </c>
      <c r="E307" s="1" t="s">
        <v>477</v>
      </c>
    </row>
    <row r="308" spans="1:5">
      <c r="A308" s="3">
        <v>307</v>
      </c>
      <c r="B308" s="1" t="s">
        <v>254</v>
      </c>
      <c r="C308" t="s">
        <v>540</v>
      </c>
      <c r="D308" t="s">
        <v>529</v>
      </c>
      <c r="E308" s="1" t="s">
        <v>478</v>
      </c>
    </row>
    <row r="309" spans="1:5">
      <c r="A309" s="3">
        <v>308</v>
      </c>
      <c r="B309" s="1" t="s">
        <v>255</v>
      </c>
      <c r="C309" t="s">
        <v>531</v>
      </c>
      <c r="D309" t="s">
        <v>528</v>
      </c>
      <c r="E309" s="1" t="s">
        <v>479</v>
      </c>
    </row>
    <row r="310" spans="1:5">
      <c r="A310" s="3">
        <v>309</v>
      </c>
      <c r="B310" s="1" t="s">
        <v>253</v>
      </c>
      <c r="C310" t="s">
        <v>531</v>
      </c>
      <c r="D310" t="s">
        <v>528</v>
      </c>
      <c r="E310" s="1" t="s">
        <v>479</v>
      </c>
    </row>
    <row r="311" spans="1:5">
      <c r="A311" s="3">
        <v>310</v>
      </c>
      <c r="B311" s="1" t="s">
        <v>256</v>
      </c>
      <c r="C311" t="s">
        <v>538</v>
      </c>
      <c r="D311" t="s">
        <v>528</v>
      </c>
      <c r="E311" s="1" t="s">
        <v>479</v>
      </c>
    </row>
    <row r="312" spans="1:5">
      <c r="A312" s="3">
        <v>311</v>
      </c>
      <c r="B312" s="1" t="s">
        <v>257</v>
      </c>
      <c r="C312" t="s">
        <v>540</v>
      </c>
      <c r="D312" t="s">
        <v>529</v>
      </c>
      <c r="E312" s="1" t="s">
        <v>480</v>
      </c>
    </row>
    <row r="313" spans="1:5">
      <c r="A313" s="3">
        <v>312</v>
      </c>
      <c r="B313" s="1" t="s">
        <v>258</v>
      </c>
      <c r="C313" t="s">
        <v>538</v>
      </c>
      <c r="D313" t="s">
        <v>528</v>
      </c>
      <c r="E313" s="1" t="s">
        <v>480</v>
      </c>
    </row>
    <row r="314" spans="1:5">
      <c r="A314" s="3">
        <v>313</v>
      </c>
      <c r="B314" s="1" t="s">
        <v>259</v>
      </c>
      <c r="C314" t="s">
        <v>531</v>
      </c>
      <c r="D314" t="s">
        <v>528</v>
      </c>
      <c r="E314" s="1" t="s">
        <v>481</v>
      </c>
    </row>
    <row r="315" spans="1:5">
      <c r="A315" s="3">
        <v>314</v>
      </c>
      <c r="B315" s="1" t="s">
        <v>260</v>
      </c>
      <c r="C315" t="s">
        <v>546</v>
      </c>
      <c r="D315" t="s">
        <v>529</v>
      </c>
      <c r="E315" s="1" t="s">
        <v>481</v>
      </c>
    </row>
    <row r="316" spans="1:5">
      <c r="A316" s="3">
        <v>315</v>
      </c>
      <c r="B316" s="1" t="s">
        <v>261</v>
      </c>
      <c r="C316" t="s">
        <v>531</v>
      </c>
      <c r="D316" t="s">
        <v>528</v>
      </c>
      <c r="E316" s="1" t="s">
        <v>481</v>
      </c>
    </row>
    <row r="317" spans="1:5">
      <c r="A317" s="3">
        <v>316</v>
      </c>
      <c r="B317" s="1" t="s">
        <v>262</v>
      </c>
      <c r="C317" t="s">
        <v>531</v>
      </c>
      <c r="D317" t="s">
        <v>528</v>
      </c>
      <c r="E317" s="1" t="s">
        <v>482</v>
      </c>
    </row>
    <row r="318" spans="1:5">
      <c r="A318" s="3">
        <v>317</v>
      </c>
      <c r="B318" s="1" t="s">
        <v>263</v>
      </c>
      <c r="C318" t="s">
        <v>546</v>
      </c>
      <c r="D318" t="s">
        <v>529</v>
      </c>
      <c r="E318" s="1" t="s">
        <v>482</v>
      </c>
    </row>
    <row r="319" spans="1:5">
      <c r="A319" s="3">
        <v>318</v>
      </c>
      <c r="B319" s="1" t="s">
        <v>264</v>
      </c>
      <c r="C319" t="s">
        <v>533</v>
      </c>
      <c r="D319" t="s">
        <v>528</v>
      </c>
      <c r="E319" s="1" t="s">
        <v>483</v>
      </c>
    </row>
    <row r="320" spans="1:5">
      <c r="A320" s="3">
        <v>319</v>
      </c>
      <c r="B320" s="1" t="s">
        <v>265</v>
      </c>
      <c r="C320" t="s">
        <v>546</v>
      </c>
      <c r="D320" t="s">
        <v>529</v>
      </c>
      <c r="E320" s="1" t="s">
        <v>483</v>
      </c>
    </row>
    <row r="321" spans="1:5">
      <c r="A321" s="3">
        <v>320</v>
      </c>
      <c r="B321" s="1" t="s">
        <v>266</v>
      </c>
      <c r="C321" t="s">
        <v>546</v>
      </c>
      <c r="D321" t="s">
        <v>529</v>
      </c>
      <c r="E321" s="1" t="s">
        <v>483</v>
      </c>
    </row>
    <row r="322" spans="1:5">
      <c r="A322" s="3">
        <v>321</v>
      </c>
      <c r="B322" s="1" t="s">
        <v>267</v>
      </c>
      <c r="C322" t="s">
        <v>546</v>
      </c>
      <c r="D322" t="s">
        <v>529</v>
      </c>
      <c r="E322" s="1" t="s">
        <v>483</v>
      </c>
    </row>
    <row r="323" spans="1:5">
      <c r="A323" s="3">
        <v>322</v>
      </c>
      <c r="B323" s="1" t="s">
        <v>268</v>
      </c>
      <c r="C323" t="s">
        <v>531</v>
      </c>
      <c r="D323" t="s">
        <v>528</v>
      </c>
      <c r="E323" s="1" t="s">
        <v>484</v>
      </c>
    </row>
    <row r="324" spans="1:5">
      <c r="A324" s="3">
        <v>323</v>
      </c>
      <c r="B324" s="1" t="s">
        <v>269</v>
      </c>
      <c r="C324" t="s">
        <v>538</v>
      </c>
      <c r="D324" t="s">
        <v>528</v>
      </c>
      <c r="E324" s="1" t="s">
        <v>484</v>
      </c>
    </row>
    <row r="325" spans="1:5">
      <c r="A325" s="3">
        <v>324</v>
      </c>
      <c r="B325" s="1" t="s">
        <v>270</v>
      </c>
      <c r="C325" t="s">
        <v>538</v>
      </c>
      <c r="D325" t="s">
        <v>528</v>
      </c>
      <c r="E325" s="1" t="s">
        <v>485</v>
      </c>
    </row>
    <row r="326" spans="1:5">
      <c r="A326" s="3">
        <v>325</v>
      </c>
      <c r="B326" s="1" t="s">
        <v>271</v>
      </c>
      <c r="C326" t="s">
        <v>538</v>
      </c>
      <c r="D326" t="s">
        <v>528</v>
      </c>
      <c r="E326" s="1" t="s">
        <v>486</v>
      </c>
    </row>
    <row r="327" spans="1:5">
      <c r="A327" s="3">
        <v>326</v>
      </c>
      <c r="B327" s="1" t="s">
        <v>272</v>
      </c>
      <c r="C327" t="s">
        <v>534</v>
      </c>
      <c r="D327" t="s">
        <v>535</v>
      </c>
      <c r="E327" s="1" t="s">
        <v>486</v>
      </c>
    </row>
    <row r="328" spans="1:5">
      <c r="A328" s="3">
        <v>327</v>
      </c>
      <c r="B328" s="1" t="s">
        <v>273</v>
      </c>
      <c r="C328" t="s">
        <v>531</v>
      </c>
      <c r="D328" t="s">
        <v>528</v>
      </c>
      <c r="E328" s="1" t="s">
        <v>487</v>
      </c>
    </row>
    <row r="329" spans="1:5">
      <c r="A329" s="3">
        <v>328</v>
      </c>
      <c r="B329" s="1" t="s">
        <v>274</v>
      </c>
      <c r="C329" t="s">
        <v>549</v>
      </c>
      <c r="D329" t="s">
        <v>528</v>
      </c>
      <c r="E329" s="1" t="s">
        <v>487</v>
      </c>
    </row>
    <row r="330" spans="1:5">
      <c r="A330" s="3">
        <v>329</v>
      </c>
      <c r="B330" s="1" t="s">
        <v>275</v>
      </c>
      <c r="C330" t="s">
        <v>546</v>
      </c>
      <c r="D330" t="s">
        <v>529</v>
      </c>
      <c r="E330" s="1" t="s">
        <v>488</v>
      </c>
    </row>
    <row r="331" spans="1:5">
      <c r="A331" s="3">
        <v>330</v>
      </c>
      <c r="B331" s="1" t="s">
        <v>276</v>
      </c>
      <c r="C331" t="s">
        <v>546</v>
      </c>
      <c r="D331" t="s">
        <v>529</v>
      </c>
      <c r="E331" s="1" t="s">
        <v>488</v>
      </c>
    </row>
    <row r="332" spans="1:5">
      <c r="A332" s="3">
        <v>331</v>
      </c>
      <c r="B332" s="1" t="s">
        <v>277</v>
      </c>
      <c r="C332" t="s">
        <v>546</v>
      </c>
      <c r="D332" t="s">
        <v>529</v>
      </c>
      <c r="E332" s="1" t="s">
        <v>488</v>
      </c>
    </row>
    <row r="333" spans="1:5">
      <c r="A333" s="3">
        <v>332</v>
      </c>
      <c r="B333" s="1" t="s">
        <v>278</v>
      </c>
      <c r="C333" t="s">
        <v>546</v>
      </c>
      <c r="D333" t="s">
        <v>529</v>
      </c>
      <c r="E333" s="1" t="s">
        <v>488</v>
      </c>
    </row>
    <row r="334" spans="1:5">
      <c r="A334" s="3">
        <v>333</v>
      </c>
      <c r="B334" s="1" t="s">
        <v>185</v>
      </c>
      <c r="C334" t="s">
        <v>549</v>
      </c>
      <c r="D334" t="s">
        <v>528</v>
      </c>
      <c r="E334" s="1" t="s">
        <v>489</v>
      </c>
    </row>
    <row r="335" spans="1:5">
      <c r="A335" s="3">
        <v>334</v>
      </c>
      <c r="B335" s="1" t="s">
        <v>279</v>
      </c>
      <c r="C335" t="s">
        <v>537</v>
      </c>
      <c r="D335" t="s">
        <v>528</v>
      </c>
      <c r="E335" s="1" t="s">
        <v>490</v>
      </c>
    </row>
    <row r="336" spans="1:5">
      <c r="A336" s="3">
        <v>335</v>
      </c>
      <c r="B336" s="1" t="s">
        <v>280</v>
      </c>
      <c r="C336" t="s">
        <v>540</v>
      </c>
      <c r="D336" t="s">
        <v>529</v>
      </c>
      <c r="E336" s="1" t="s">
        <v>490</v>
      </c>
    </row>
    <row r="337" spans="1:5">
      <c r="A337" s="3">
        <v>336</v>
      </c>
      <c r="B337" s="1" t="s">
        <v>281</v>
      </c>
      <c r="C337" t="s">
        <v>533</v>
      </c>
      <c r="D337" t="s">
        <v>528</v>
      </c>
      <c r="E337" s="1" t="s">
        <v>491</v>
      </c>
    </row>
    <row r="338" spans="1:5">
      <c r="A338" s="3">
        <v>337</v>
      </c>
      <c r="B338" s="1" t="s">
        <v>185</v>
      </c>
      <c r="C338" t="s">
        <v>549</v>
      </c>
      <c r="D338" t="s">
        <v>528</v>
      </c>
      <c r="E338" s="1" t="s">
        <v>491</v>
      </c>
    </row>
    <row r="339" spans="1:5">
      <c r="A339" s="3">
        <v>338</v>
      </c>
      <c r="B339" s="1" t="s">
        <v>260</v>
      </c>
      <c r="C339" t="s">
        <v>546</v>
      </c>
      <c r="D339" t="s">
        <v>529</v>
      </c>
      <c r="E339" s="1" t="s">
        <v>492</v>
      </c>
    </row>
    <row r="340" spans="1:5">
      <c r="A340" s="3">
        <v>339</v>
      </c>
      <c r="B340" s="1" t="s">
        <v>282</v>
      </c>
      <c r="C340" t="s">
        <v>531</v>
      </c>
      <c r="D340" t="s">
        <v>528</v>
      </c>
      <c r="E340" s="1" t="s">
        <v>493</v>
      </c>
    </row>
    <row r="341" spans="1:5">
      <c r="A341" s="3">
        <v>340</v>
      </c>
      <c r="B341" s="1" t="s">
        <v>283</v>
      </c>
      <c r="C341" t="s">
        <v>538</v>
      </c>
      <c r="D341" t="s">
        <v>528</v>
      </c>
      <c r="E341" s="1" t="s">
        <v>493</v>
      </c>
    </row>
    <row r="342" spans="1:5">
      <c r="A342" s="3">
        <v>341</v>
      </c>
      <c r="B342" s="1" t="s">
        <v>284</v>
      </c>
      <c r="C342" t="s">
        <v>531</v>
      </c>
      <c r="D342" t="s">
        <v>528</v>
      </c>
      <c r="E342" s="1" t="s">
        <v>493</v>
      </c>
    </row>
    <row r="343" spans="1:5">
      <c r="A343" s="3">
        <v>342</v>
      </c>
      <c r="B343" s="1" t="s">
        <v>285</v>
      </c>
      <c r="C343" t="s">
        <v>538</v>
      </c>
      <c r="D343" t="s">
        <v>528</v>
      </c>
      <c r="E343" s="1" t="s">
        <v>493</v>
      </c>
    </row>
    <row r="344" spans="1:5">
      <c r="A344" s="3">
        <v>343</v>
      </c>
      <c r="B344" s="1" t="s">
        <v>286</v>
      </c>
      <c r="C344" t="s">
        <v>531</v>
      </c>
      <c r="D344" t="s">
        <v>528</v>
      </c>
      <c r="E344" s="1" t="s">
        <v>494</v>
      </c>
    </row>
    <row r="345" spans="1:5">
      <c r="A345" s="3">
        <v>344</v>
      </c>
      <c r="B345" s="1" t="s">
        <v>287</v>
      </c>
      <c r="C345" t="s">
        <v>534</v>
      </c>
      <c r="D345" t="s">
        <v>535</v>
      </c>
      <c r="E345" s="1" t="s">
        <v>495</v>
      </c>
    </row>
    <row r="346" spans="1:5">
      <c r="A346" s="3">
        <v>345</v>
      </c>
      <c r="B346" s="1" t="s">
        <v>288</v>
      </c>
      <c r="C346" t="s">
        <v>546</v>
      </c>
      <c r="D346" t="s">
        <v>529</v>
      </c>
      <c r="E346" s="1" t="s">
        <v>496</v>
      </c>
    </row>
    <row r="347" spans="1:5">
      <c r="A347" s="3">
        <v>346</v>
      </c>
      <c r="B347" s="1" t="s">
        <v>289</v>
      </c>
      <c r="C347" t="s">
        <v>531</v>
      </c>
      <c r="D347" t="s">
        <v>528</v>
      </c>
      <c r="E347" s="1" t="s">
        <v>497</v>
      </c>
    </row>
    <row r="348" spans="1:5">
      <c r="A348" s="3">
        <v>347</v>
      </c>
      <c r="B348" s="1" t="s">
        <v>290</v>
      </c>
      <c r="C348" t="s">
        <v>549</v>
      </c>
      <c r="D348" t="s">
        <v>528</v>
      </c>
      <c r="E348" s="1" t="s">
        <v>497</v>
      </c>
    </row>
    <row r="349" spans="1:5">
      <c r="A349" s="3">
        <v>348</v>
      </c>
      <c r="B349" s="1" t="s">
        <v>291</v>
      </c>
      <c r="C349" t="s">
        <v>531</v>
      </c>
      <c r="D349" t="s">
        <v>528</v>
      </c>
      <c r="E349" s="1" t="s">
        <v>497</v>
      </c>
    </row>
    <row r="350" spans="1:5">
      <c r="A350" s="3">
        <v>349</v>
      </c>
      <c r="B350" s="1" t="s">
        <v>292</v>
      </c>
      <c r="C350" t="s">
        <v>531</v>
      </c>
      <c r="D350" t="s">
        <v>528</v>
      </c>
      <c r="E350" s="1" t="s">
        <v>497</v>
      </c>
    </row>
    <row r="351" spans="1:5">
      <c r="A351" s="3">
        <v>350</v>
      </c>
      <c r="B351" s="1" t="s">
        <v>568</v>
      </c>
      <c r="C351" t="s">
        <v>531</v>
      </c>
      <c r="D351" t="s">
        <v>528</v>
      </c>
      <c r="E351" s="1" t="s">
        <v>498</v>
      </c>
    </row>
    <row r="352" spans="1:5">
      <c r="A352" s="3">
        <v>351</v>
      </c>
      <c r="B352" s="1" t="s">
        <v>293</v>
      </c>
      <c r="C352" t="s">
        <v>534</v>
      </c>
      <c r="D352" t="s">
        <v>535</v>
      </c>
      <c r="E352" s="1" t="s">
        <v>498</v>
      </c>
    </row>
    <row r="353" spans="1:5">
      <c r="A353" s="3">
        <v>352</v>
      </c>
      <c r="B353" s="1" t="s">
        <v>294</v>
      </c>
      <c r="C353" t="s">
        <v>538</v>
      </c>
      <c r="D353" t="s">
        <v>528</v>
      </c>
      <c r="E353" s="1" t="s">
        <v>498</v>
      </c>
    </row>
    <row r="354" spans="1:5">
      <c r="A354" s="3">
        <v>353</v>
      </c>
      <c r="B354" s="1" t="s">
        <v>295</v>
      </c>
      <c r="C354" t="s">
        <v>531</v>
      </c>
      <c r="D354" t="s">
        <v>528</v>
      </c>
      <c r="E354" s="1" t="s">
        <v>499</v>
      </c>
    </row>
    <row r="355" spans="1:5">
      <c r="A355" s="3">
        <v>354</v>
      </c>
      <c r="B355" s="1" t="s">
        <v>260</v>
      </c>
      <c r="C355" t="s">
        <v>546</v>
      </c>
      <c r="D355" t="s">
        <v>529</v>
      </c>
      <c r="E355" s="1" t="s">
        <v>500</v>
      </c>
    </row>
    <row r="356" spans="1:5">
      <c r="A356" s="3">
        <v>355</v>
      </c>
      <c r="B356" s="1" t="s">
        <v>296</v>
      </c>
      <c r="C356" t="s">
        <v>533</v>
      </c>
      <c r="D356" t="s">
        <v>528</v>
      </c>
      <c r="E356" s="1" t="s">
        <v>500</v>
      </c>
    </row>
    <row r="357" spans="1:5">
      <c r="A357" s="3">
        <v>356</v>
      </c>
      <c r="B357" s="1" t="s">
        <v>297</v>
      </c>
      <c r="C357" t="s">
        <v>546</v>
      </c>
      <c r="D357" t="s">
        <v>529</v>
      </c>
      <c r="E357" s="1" t="s">
        <v>500</v>
      </c>
    </row>
    <row r="358" spans="1:5">
      <c r="A358" s="3">
        <v>357</v>
      </c>
      <c r="B358" s="1" t="s">
        <v>298</v>
      </c>
      <c r="C358" t="s">
        <v>531</v>
      </c>
      <c r="D358" t="s">
        <v>528</v>
      </c>
      <c r="E358" s="1" t="s">
        <v>501</v>
      </c>
    </row>
    <row r="359" spans="1:5">
      <c r="A359" s="3">
        <v>358</v>
      </c>
      <c r="B359" s="1" t="s">
        <v>299</v>
      </c>
      <c r="C359" t="s">
        <v>548</v>
      </c>
      <c r="D359" t="s">
        <v>530</v>
      </c>
      <c r="E359" s="1" t="s">
        <v>501</v>
      </c>
    </row>
    <row r="360" spans="1:5">
      <c r="A360" s="3">
        <v>359</v>
      </c>
      <c r="B360" s="1" t="s">
        <v>300</v>
      </c>
      <c r="C360" t="s">
        <v>538</v>
      </c>
      <c r="D360" t="s">
        <v>528</v>
      </c>
      <c r="E360" s="1" t="s">
        <v>501</v>
      </c>
    </row>
    <row r="361" spans="1:5">
      <c r="A361" s="3">
        <v>360</v>
      </c>
      <c r="B361" s="1" t="s">
        <v>301</v>
      </c>
      <c r="C361" t="s">
        <v>543</v>
      </c>
      <c r="D361" t="s">
        <v>528</v>
      </c>
      <c r="E361" s="1" t="s">
        <v>502</v>
      </c>
    </row>
    <row r="362" spans="1:5">
      <c r="A362" s="3">
        <v>361</v>
      </c>
      <c r="B362" s="1" t="s">
        <v>302</v>
      </c>
      <c r="C362" t="s">
        <v>543</v>
      </c>
      <c r="D362" t="s">
        <v>528</v>
      </c>
      <c r="E362" s="1" t="s">
        <v>502</v>
      </c>
    </row>
    <row r="363" spans="1:5">
      <c r="A363" s="3">
        <v>362</v>
      </c>
      <c r="B363" s="1" t="s">
        <v>28</v>
      </c>
      <c r="C363" t="s">
        <v>546</v>
      </c>
      <c r="D363" t="s">
        <v>529</v>
      </c>
      <c r="E363" s="1" t="s">
        <v>503</v>
      </c>
    </row>
    <row r="364" spans="1:5">
      <c r="A364" s="3">
        <v>363</v>
      </c>
      <c r="B364" s="1" t="s">
        <v>303</v>
      </c>
      <c r="C364" t="s">
        <v>531</v>
      </c>
      <c r="D364" t="s">
        <v>528</v>
      </c>
      <c r="E364" s="1" t="s">
        <v>503</v>
      </c>
    </row>
    <row r="365" spans="1:5">
      <c r="A365" s="3">
        <v>364</v>
      </c>
      <c r="B365" s="1" t="s">
        <v>304</v>
      </c>
      <c r="C365" t="s">
        <v>537</v>
      </c>
      <c r="D365" t="s">
        <v>528</v>
      </c>
      <c r="E365" s="1" t="s">
        <v>504</v>
      </c>
    </row>
    <row r="366" spans="1:5">
      <c r="A366" s="3">
        <v>365</v>
      </c>
      <c r="B366" s="1" t="s">
        <v>305</v>
      </c>
      <c r="C366" t="s">
        <v>531</v>
      </c>
      <c r="D366" t="s">
        <v>528</v>
      </c>
      <c r="E366" s="1" t="s">
        <v>505</v>
      </c>
    </row>
    <row r="367" spans="1:5">
      <c r="A367" s="3">
        <v>366</v>
      </c>
      <c r="B367" s="1" t="s">
        <v>306</v>
      </c>
      <c r="C367" t="s">
        <v>540</v>
      </c>
      <c r="D367" t="s">
        <v>529</v>
      </c>
      <c r="E367" s="1" t="s">
        <v>505</v>
      </c>
    </row>
    <row r="368" spans="1:5">
      <c r="A368" s="3">
        <v>367</v>
      </c>
      <c r="B368" s="1" t="s">
        <v>307</v>
      </c>
      <c r="C368" t="s">
        <v>538</v>
      </c>
      <c r="D368" t="s">
        <v>528</v>
      </c>
      <c r="E368" s="1" t="s">
        <v>505</v>
      </c>
    </row>
    <row r="369" spans="1:5">
      <c r="A369" s="3">
        <v>368</v>
      </c>
      <c r="B369" s="1" t="s">
        <v>308</v>
      </c>
      <c r="C369" t="s">
        <v>540</v>
      </c>
      <c r="D369" t="s">
        <v>529</v>
      </c>
      <c r="E369" s="1" t="s">
        <v>505</v>
      </c>
    </row>
    <row r="370" spans="1:5">
      <c r="A370" s="3">
        <v>369</v>
      </c>
      <c r="B370" s="1" t="s">
        <v>309</v>
      </c>
      <c r="C370" t="s">
        <v>531</v>
      </c>
      <c r="D370" t="s">
        <v>528</v>
      </c>
      <c r="E370" s="1" t="s">
        <v>505</v>
      </c>
    </row>
    <row r="371" spans="1:5">
      <c r="A371" s="3">
        <v>370</v>
      </c>
      <c r="B371" s="1" t="s">
        <v>310</v>
      </c>
      <c r="C371" t="s">
        <v>542</v>
      </c>
      <c r="D371" t="s">
        <v>528</v>
      </c>
      <c r="E371" s="1" t="s">
        <v>505</v>
      </c>
    </row>
    <row r="372" spans="1:5">
      <c r="A372" s="3">
        <v>371</v>
      </c>
      <c r="B372" s="1" t="s">
        <v>311</v>
      </c>
      <c r="C372" t="s">
        <v>533</v>
      </c>
      <c r="D372" t="s">
        <v>528</v>
      </c>
      <c r="E372" s="1" t="s">
        <v>505</v>
      </c>
    </row>
    <row r="373" spans="1:5">
      <c r="A373" s="3">
        <v>372</v>
      </c>
      <c r="B373" s="1" t="s">
        <v>527</v>
      </c>
      <c r="C373" t="s">
        <v>531</v>
      </c>
      <c r="D373" t="s">
        <v>528</v>
      </c>
      <c r="E373" s="1" t="s">
        <v>506</v>
      </c>
    </row>
    <row r="374" spans="1:5">
      <c r="A374" s="3">
        <v>373</v>
      </c>
      <c r="B374" s="1" t="s">
        <v>312</v>
      </c>
      <c r="C374" t="s">
        <v>546</v>
      </c>
      <c r="D374" t="s">
        <v>529</v>
      </c>
      <c r="E374" s="1" t="s">
        <v>507</v>
      </c>
    </row>
    <row r="375" spans="1:5">
      <c r="A375" s="3">
        <v>374</v>
      </c>
      <c r="B375" s="1" t="s">
        <v>313</v>
      </c>
      <c r="C375" t="s">
        <v>546</v>
      </c>
      <c r="D375" t="s">
        <v>529</v>
      </c>
      <c r="E375" s="1" t="s">
        <v>508</v>
      </c>
    </row>
    <row r="376" spans="1:5">
      <c r="A376" s="3">
        <v>375</v>
      </c>
      <c r="B376" s="1" t="s">
        <v>314</v>
      </c>
      <c r="C376" t="s">
        <v>533</v>
      </c>
      <c r="D376" t="s">
        <v>528</v>
      </c>
      <c r="E376" s="1" t="s">
        <v>508</v>
      </c>
    </row>
    <row r="377" spans="1:5">
      <c r="A377" s="3">
        <v>376</v>
      </c>
      <c r="B377" s="1" t="s">
        <v>315</v>
      </c>
      <c r="C377" t="s">
        <v>534</v>
      </c>
      <c r="D377" t="s">
        <v>535</v>
      </c>
      <c r="E377" s="1" t="s">
        <v>509</v>
      </c>
    </row>
    <row r="378" spans="1:5">
      <c r="A378" s="3">
        <v>377</v>
      </c>
      <c r="B378" s="1" t="s">
        <v>316</v>
      </c>
      <c r="C378" t="s">
        <v>546</v>
      </c>
      <c r="D378" t="s">
        <v>529</v>
      </c>
      <c r="E378" s="1" t="s">
        <v>509</v>
      </c>
    </row>
    <row r="379" spans="1:5">
      <c r="A379" s="3">
        <v>378</v>
      </c>
      <c r="B379" s="1" t="s">
        <v>317</v>
      </c>
      <c r="C379" t="s">
        <v>531</v>
      </c>
      <c r="D379" t="s">
        <v>528</v>
      </c>
      <c r="E379" s="1" t="s">
        <v>509</v>
      </c>
    </row>
    <row r="380" spans="1:5">
      <c r="A380" s="3">
        <v>379</v>
      </c>
      <c r="B380" s="1" t="s">
        <v>318</v>
      </c>
      <c r="D380" t="s">
        <v>102</v>
      </c>
      <c r="E380" s="1" t="s">
        <v>509</v>
      </c>
    </row>
    <row r="381" spans="1:5">
      <c r="A381" s="3">
        <v>380</v>
      </c>
      <c r="B381" s="1" t="s">
        <v>319</v>
      </c>
      <c r="C381" t="s">
        <v>536</v>
      </c>
      <c r="D381" t="s">
        <v>530</v>
      </c>
      <c r="E381" s="1" t="s">
        <v>509</v>
      </c>
    </row>
    <row r="382" spans="1:5">
      <c r="A382" s="3">
        <v>381</v>
      </c>
      <c r="B382" s="1" t="s">
        <v>320</v>
      </c>
      <c r="C382" t="s">
        <v>531</v>
      </c>
      <c r="D382" t="s">
        <v>528</v>
      </c>
      <c r="E382" s="1" t="s">
        <v>510</v>
      </c>
    </row>
    <row r="383" spans="1:5">
      <c r="A383" s="3">
        <v>382</v>
      </c>
      <c r="B383" s="1" t="s">
        <v>321</v>
      </c>
      <c r="C383" t="s">
        <v>537</v>
      </c>
      <c r="D383" t="s">
        <v>528</v>
      </c>
      <c r="E383" s="1" t="s">
        <v>510</v>
      </c>
    </row>
    <row r="384" spans="1:5">
      <c r="A384" s="3">
        <v>383</v>
      </c>
      <c r="B384" s="1" t="s">
        <v>322</v>
      </c>
      <c r="C384" t="s">
        <v>531</v>
      </c>
      <c r="D384" t="s">
        <v>528</v>
      </c>
      <c r="E384" s="1" t="s">
        <v>511</v>
      </c>
    </row>
    <row r="385" spans="1:5">
      <c r="A385" s="3">
        <v>384</v>
      </c>
      <c r="B385" s="1" t="s">
        <v>323</v>
      </c>
      <c r="C385" t="s">
        <v>536</v>
      </c>
      <c r="D385" t="s">
        <v>530</v>
      </c>
      <c r="E385" s="1" t="s">
        <v>511</v>
      </c>
    </row>
    <row r="386" spans="1:5">
      <c r="A386" s="3">
        <v>385</v>
      </c>
      <c r="B386" s="1" t="s">
        <v>324</v>
      </c>
      <c r="C386" t="s">
        <v>531</v>
      </c>
      <c r="D386" t="s">
        <v>528</v>
      </c>
      <c r="E386" s="1" t="s">
        <v>512</v>
      </c>
    </row>
    <row r="387" spans="1:5">
      <c r="A387" s="3">
        <v>386</v>
      </c>
      <c r="B387" s="1" t="s">
        <v>325</v>
      </c>
      <c r="C387" t="s">
        <v>534</v>
      </c>
      <c r="D387" t="s">
        <v>535</v>
      </c>
      <c r="E387" s="1" t="s">
        <v>512</v>
      </c>
    </row>
    <row r="388" spans="1:5">
      <c r="A388" s="3">
        <v>387</v>
      </c>
      <c r="B388" s="1" t="s">
        <v>326</v>
      </c>
      <c r="C388" t="s">
        <v>546</v>
      </c>
      <c r="D388" t="s">
        <v>529</v>
      </c>
      <c r="E388" s="1" t="s">
        <v>512</v>
      </c>
    </row>
    <row r="389" spans="1:5">
      <c r="A389" s="3">
        <v>388</v>
      </c>
      <c r="B389" s="1" t="s">
        <v>327</v>
      </c>
      <c r="C389" t="s">
        <v>533</v>
      </c>
      <c r="D389" t="s">
        <v>528</v>
      </c>
      <c r="E389" s="1" t="s">
        <v>512</v>
      </c>
    </row>
    <row r="390" spans="1:5">
      <c r="A390" s="3">
        <v>389</v>
      </c>
      <c r="B390" s="1" t="s">
        <v>328</v>
      </c>
      <c r="C390" t="s">
        <v>531</v>
      </c>
      <c r="D390" t="s">
        <v>528</v>
      </c>
      <c r="E390" s="1" t="s">
        <v>512</v>
      </c>
    </row>
    <row r="391" spans="1:5">
      <c r="A391" s="3">
        <v>390</v>
      </c>
      <c r="B391" s="1" t="s">
        <v>5</v>
      </c>
      <c r="C391" t="s">
        <v>534</v>
      </c>
      <c r="D391" t="s">
        <v>535</v>
      </c>
      <c r="E391" s="1" t="s">
        <v>512</v>
      </c>
    </row>
    <row r="392" spans="1:5">
      <c r="A392" s="3">
        <v>391</v>
      </c>
      <c r="B392" s="1" t="s">
        <v>329</v>
      </c>
      <c r="C392" t="s">
        <v>534</v>
      </c>
      <c r="D392" t="s">
        <v>535</v>
      </c>
      <c r="E392" s="1" t="s">
        <v>513</v>
      </c>
    </row>
    <row r="393" spans="1:5">
      <c r="A393" s="3">
        <v>392</v>
      </c>
      <c r="B393" s="1" t="s">
        <v>330</v>
      </c>
      <c r="C393" t="s">
        <v>543</v>
      </c>
      <c r="D393" t="s">
        <v>528</v>
      </c>
      <c r="E393" s="1" t="s">
        <v>513</v>
      </c>
    </row>
    <row r="394" spans="1:5">
      <c r="A394" s="3">
        <v>393</v>
      </c>
      <c r="B394" s="1" t="s">
        <v>331</v>
      </c>
      <c r="C394" t="s">
        <v>541</v>
      </c>
      <c r="D394" t="s">
        <v>528</v>
      </c>
      <c r="E394" s="1" t="s">
        <v>513</v>
      </c>
    </row>
    <row r="395" spans="1:5">
      <c r="A395" s="3">
        <v>394</v>
      </c>
      <c r="B395" s="1" t="s">
        <v>332</v>
      </c>
      <c r="C395" t="s">
        <v>547</v>
      </c>
      <c r="D395" t="s">
        <v>535</v>
      </c>
      <c r="E395" s="1" t="s">
        <v>514</v>
      </c>
    </row>
    <row r="396" spans="1:5">
      <c r="A396" s="3">
        <v>395</v>
      </c>
      <c r="B396" s="1" t="s">
        <v>333</v>
      </c>
      <c r="C396" t="s">
        <v>531</v>
      </c>
      <c r="D396" t="s">
        <v>528</v>
      </c>
      <c r="E396" s="1" t="s">
        <v>515</v>
      </c>
    </row>
    <row r="397" spans="1:5">
      <c r="A397" s="3">
        <v>396</v>
      </c>
      <c r="B397" s="1" t="s">
        <v>334</v>
      </c>
      <c r="C397" t="s">
        <v>546</v>
      </c>
      <c r="D397" t="s">
        <v>529</v>
      </c>
      <c r="E397" s="1" t="s">
        <v>516</v>
      </c>
    </row>
    <row r="398" spans="1:5">
      <c r="A398" s="3">
        <v>397</v>
      </c>
      <c r="B398" s="1" t="s">
        <v>335</v>
      </c>
      <c r="C398" t="s">
        <v>540</v>
      </c>
      <c r="D398" t="s">
        <v>529</v>
      </c>
      <c r="E398" s="1" t="s">
        <v>516</v>
      </c>
    </row>
    <row r="399" spans="1:5">
      <c r="A399" s="3">
        <v>398</v>
      </c>
      <c r="B399" s="1" t="s">
        <v>336</v>
      </c>
      <c r="C399" t="s">
        <v>531</v>
      </c>
      <c r="D399" t="s">
        <v>528</v>
      </c>
      <c r="E399" s="1" t="s">
        <v>516</v>
      </c>
    </row>
    <row r="400" spans="1:5">
      <c r="A400" s="3">
        <v>399</v>
      </c>
      <c r="B400" s="1" t="s">
        <v>337</v>
      </c>
      <c r="C400" t="s">
        <v>534</v>
      </c>
      <c r="D400" t="s">
        <v>535</v>
      </c>
      <c r="E400" s="1" t="s">
        <v>516</v>
      </c>
    </row>
    <row r="401" spans="1:5">
      <c r="A401" s="3">
        <v>400</v>
      </c>
      <c r="B401" s="1" t="s">
        <v>338</v>
      </c>
      <c r="C401" t="s">
        <v>533</v>
      </c>
      <c r="D401" t="s">
        <v>528</v>
      </c>
      <c r="E401" s="1" t="s">
        <v>517</v>
      </c>
    </row>
    <row r="402" spans="1:5">
      <c r="A402" s="3">
        <v>401</v>
      </c>
      <c r="B402" s="1" t="s">
        <v>339</v>
      </c>
      <c r="C402" t="s">
        <v>531</v>
      </c>
      <c r="D402" t="s">
        <v>528</v>
      </c>
      <c r="E402" s="1" t="s">
        <v>517</v>
      </c>
    </row>
    <row r="403" spans="1:5">
      <c r="A403" s="3">
        <v>402</v>
      </c>
      <c r="B403" s="1" t="s">
        <v>340</v>
      </c>
      <c r="C403" t="s">
        <v>534</v>
      </c>
      <c r="D403" t="s">
        <v>535</v>
      </c>
      <c r="E403" s="1" t="s">
        <v>517</v>
      </c>
    </row>
    <row r="404" spans="1:5">
      <c r="A404" s="3">
        <v>403</v>
      </c>
      <c r="B404" s="1" t="s">
        <v>341</v>
      </c>
      <c r="C404" t="s">
        <v>534</v>
      </c>
      <c r="D404" t="s">
        <v>535</v>
      </c>
      <c r="E404" s="1" t="s">
        <v>518</v>
      </c>
    </row>
    <row r="405" spans="1:5">
      <c r="A405" s="3">
        <v>404</v>
      </c>
      <c r="B405" s="1" t="s">
        <v>342</v>
      </c>
      <c r="C405" t="s">
        <v>540</v>
      </c>
      <c r="D405" t="s">
        <v>529</v>
      </c>
      <c r="E405" s="1" t="s">
        <v>519</v>
      </c>
    </row>
    <row r="406" spans="1:5">
      <c r="A406" s="3">
        <v>405</v>
      </c>
      <c r="B406" s="1" t="s">
        <v>343</v>
      </c>
      <c r="C406" t="s">
        <v>531</v>
      </c>
      <c r="D406" t="s">
        <v>528</v>
      </c>
      <c r="E406" s="1" t="s">
        <v>520</v>
      </c>
    </row>
    <row r="407" spans="1:5">
      <c r="A407" s="3">
        <v>406</v>
      </c>
      <c r="B407" s="1" t="s">
        <v>344</v>
      </c>
      <c r="C407" t="s">
        <v>538</v>
      </c>
      <c r="D407" t="s">
        <v>528</v>
      </c>
      <c r="E407" s="1" t="s">
        <v>520</v>
      </c>
    </row>
    <row r="408" spans="1:5">
      <c r="A408" s="3">
        <v>407</v>
      </c>
      <c r="B408" s="1" t="s">
        <v>345</v>
      </c>
      <c r="C408" t="s">
        <v>546</v>
      </c>
      <c r="D408" t="s">
        <v>529</v>
      </c>
      <c r="E408" s="1" t="s">
        <v>521</v>
      </c>
    </row>
    <row r="409" spans="1:5">
      <c r="A409" s="3">
        <v>408</v>
      </c>
      <c r="B409" s="1" t="s">
        <v>346</v>
      </c>
      <c r="C409" t="s">
        <v>534</v>
      </c>
      <c r="D409" t="s">
        <v>535</v>
      </c>
      <c r="E409" s="1" t="s">
        <v>521</v>
      </c>
    </row>
    <row r="410" spans="1:5">
      <c r="A410" s="3">
        <v>409</v>
      </c>
      <c r="B410" s="1" t="s">
        <v>347</v>
      </c>
      <c r="C410" t="s">
        <v>548</v>
      </c>
      <c r="D410" t="s">
        <v>530</v>
      </c>
      <c r="E410" s="1" t="s">
        <v>522</v>
      </c>
    </row>
    <row r="411" spans="1:5">
      <c r="A411" s="3">
        <v>410</v>
      </c>
      <c r="B411" s="1" t="s">
        <v>4</v>
      </c>
      <c r="C411" t="s">
        <v>531</v>
      </c>
      <c r="D411" t="s">
        <v>528</v>
      </c>
      <c r="E411" s="1" t="s">
        <v>523</v>
      </c>
    </row>
    <row r="412" spans="1:5">
      <c r="A412" s="3">
        <v>411</v>
      </c>
      <c r="B412" s="1" t="s">
        <v>5</v>
      </c>
      <c r="C412" t="s">
        <v>534</v>
      </c>
      <c r="D412" t="s">
        <v>535</v>
      </c>
      <c r="E412" s="1" t="s">
        <v>523</v>
      </c>
    </row>
    <row r="413" spans="1:5">
      <c r="A413" s="3">
        <v>412</v>
      </c>
      <c r="B413" s="1" t="s">
        <v>348</v>
      </c>
      <c r="C413" t="s">
        <v>546</v>
      </c>
      <c r="D413" t="s">
        <v>529</v>
      </c>
      <c r="E413" s="1" t="s">
        <v>523</v>
      </c>
    </row>
    <row r="414" spans="1:5">
      <c r="A414" s="3">
        <v>413</v>
      </c>
      <c r="B414" s="1" t="s">
        <v>28</v>
      </c>
      <c r="C414" t="s">
        <v>546</v>
      </c>
      <c r="D414" t="s">
        <v>529</v>
      </c>
      <c r="E414" s="1" t="s">
        <v>524</v>
      </c>
    </row>
    <row r="415" spans="1:5">
      <c r="A415" s="1"/>
      <c r="B415" s="1"/>
      <c r="C415" s="1"/>
      <c r="D415" s="1"/>
    </row>
    <row r="416" spans="1:5">
      <c r="A416" s="1"/>
      <c r="B416" s="1"/>
      <c r="C416" s="1"/>
      <c r="D416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4"/>
  <sheetViews>
    <sheetView workbookViewId="0">
      <selection activeCell="D351" sqref="D351"/>
    </sheetView>
  </sheetViews>
  <sheetFormatPr defaultRowHeight="15"/>
  <cols>
    <col min="1" max="1" width="15" customWidth="1"/>
    <col min="2" max="2" width="22.85546875" customWidth="1"/>
    <col min="3" max="3" width="21.5703125" customWidth="1"/>
    <col min="4" max="4" width="27.85546875" customWidth="1"/>
    <col min="7" max="7" width="17.5703125" customWidth="1"/>
  </cols>
  <sheetData>
    <row r="1" spans="1:7">
      <c r="A1" s="2" t="s">
        <v>576</v>
      </c>
      <c r="B1" s="2" t="s">
        <v>571</v>
      </c>
      <c r="C1" s="2" t="s">
        <v>569</v>
      </c>
      <c r="D1" s="2" t="s">
        <v>574</v>
      </c>
      <c r="E1" s="2" t="s">
        <v>573</v>
      </c>
      <c r="F1" s="2" t="s">
        <v>570</v>
      </c>
      <c r="G1" s="2" t="s">
        <v>575</v>
      </c>
    </row>
    <row r="2" spans="1:7">
      <c r="A2" s="3">
        <v>248</v>
      </c>
      <c r="B2" s="3">
        <v>1</v>
      </c>
      <c r="C2" t="s">
        <v>210</v>
      </c>
      <c r="D2" t="str">
        <f>VLOOKUP($A2,'По порядку'!$A$2:$E$414,3,FALSE)</f>
        <v xml:space="preserve">samānādhikaraṇa </v>
      </c>
      <c r="E2" t="str">
        <f>VLOOKUP($A2,'По порядку'!$A$2:$E$414,4,FALSE)</f>
        <v>bahuvrīhi</v>
      </c>
      <c r="F2" t="str">
        <f>VLOOKUP($A2,'По порядку'!$A$2:$E$414,5,FALSE)</f>
        <v>5.11</v>
      </c>
    </row>
    <row r="3" spans="1:7">
      <c r="A3" s="3">
        <v>135</v>
      </c>
      <c r="B3" s="3">
        <v>2</v>
      </c>
      <c r="C3" t="s">
        <v>119</v>
      </c>
      <c r="D3" t="str">
        <f>VLOOKUP($A3,'По порядку'!$A$2:$E$414,3,FALSE)</f>
        <v>ṣaṣṭhī-</v>
      </c>
      <c r="E3" t="str">
        <f>VLOOKUP($A3,'По порядку'!$A$2:$E$414,4,FALSE)</f>
        <v>tatpuruṣa</v>
      </c>
      <c r="F3" t="str">
        <f>VLOOKUP($A3,'По порядку'!$A$2:$E$414,5,FALSE)</f>
        <v>3.3</v>
      </c>
    </row>
    <row r="4" spans="1:7">
      <c r="A4" s="3">
        <v>346</v>
      </c>
      <c r="B4" s="3">
        <v>3</v>
      </c>
      <c r="C4" t="s">
        <v>289</v>
      </c>
      <c r="D4" t="str">
        <f>VLOOKUP($A4,'По порядку'!$A$2:$E$414,3,FALSE)</f>
        <v>ṣaṣṭhī-</v>
      </c>
      <c r="E4" t="str">
        <f>VLOOKUP($A4,'По порядку'!$A$2:$E$414,4,FALSE)</f>
        <v>tatpuruṣa</v>
      </c>
      <c r="F4" t="str">
        <f>VLOOKUP($A4,'По порядку'!$A$2:$E$414,5,FALSE)</f>
        <v>6.48</v>
      </c>
    </row>
    <row r="5" spans="1:7">
      <c r="A5" s="3">
        <v>227</v>
      </c>
      <c r="B5" s="3">
        <v>4</v>
      </c>
      <c r="C5" t="s">
        <v>193</v>
      </c>
      <c r="D5" t="str">
        <f>VLOOKUP($A5,'По порядку'!$A$2:$E$414,3,FALSE)</f>
        <v>samānādhikaraṇa-</v>
      </c>
      <c r="E5" t="str">
        <f>VLOOKUP($A5,'По порядку'!$A$2:$E$414,4,FALSE)</f>
        <v>bahuvrīhi</v>
      </c>
      <c r="F5" t="str">
        <f>VLOOKUP($A5,'По порядку'!$A$2:$E$414,5,FALSE)</f>
        <v>4.19</v>
      </c>
    </row>
    <row r="6" spans="1:7">
      <c r="A6" s="3">
        <v>402</v>
      </c>
      <c r="B6" s="3">
        <v>5</v>
      </c>
      <c r="C6" t="s">
        <v>340</v>
      </c>
      <c r="D6" t="str">
        <f>VLOOKUP($A6,'По порядку'!$A$2:$E$414,3,FALSE)</f>
        <v xml:space="preserve">viśeṣaṇapūrvapadaḥ </v>
      </c>
      <c r="E6" t="str">
        <f>VLOOKUP($A6,'По порядку'!$A$2:$E$414,4,FALSE)</f>
        <v>karmadhāraya</v>
      </c>
      <c r="F6" t="str">
        <f>VLOOKUP($A6,'По порядку'!$A$2:$E$414,5,FALSE)</f>
        <v>7.1</v>
      </c>
    </row>
    <row r="7" spans="1:7">
      <c r="A7" s="3">
        <v>401</v>
      </c>
      <c r="B7" s="3">
        <v>6</v>
      </c>
      <c r="C7" t="s">
        <v>339</v>
      </c>
      <c r="D7" t="str">
        <f>VLOOKUP($A7,'По порядку'!$A$2:$E$414,3,FALSE)</f>
        <v>ṣaṣṭhī-</v>
      </c>
      <c r="E7" t="str">
        <f>VLOOKUP($A7,'По порядку'!$A$2:$E$414,4,FALSE)</f>
        <v>tatpuruṣa</v>
      </c>
      <c r="F7" t="str">
        <f>VLOOKUP($A7,'По порядку'!$A$2:$E$414,5,FALSE)</f>
        <v>7.1</v>
      </c>
    </row>
    <row r="8" spans="1:7">
      <c r="A8" s="3">
        <v>232</v>
      </c>
      <c r="B8" s="3">
        <v>7</v>
      </c>
      <c r="C8" t="s">
        <v>198</v>
      </c>
      <c r="D8" t="str">
        <f>VLOOKUP($A8,'По порядку'!$A$2:$E$414,3,FALSE)</f>
        <v>ṣaṣṭhī-</v>
      </c>
      <c r="E8" t="str">
        <f>VLOOKUP($A8,'По порядку'!$A$2:$E$414,4,FALSE)</f>
        <v>tatpuruṣa</v>
      </c>
      <c r="F8" t="str">
        <f>VLOOKUP($A8,'По порядку'!$A$2:$E$414,5,FALSE)</f>
        <v>4.20</v>
      </c>
    </row>
    <row r="9" spans="1:7">
      <c r="A9" s="3">
        <v>238</v>
      </c>
      <c r="B9" s="3">
        <v>8</v>
      </c>
      <c r="C9" t="s">
        <v>198</v>
      </c>
      <c r="D9" t="str">
        <f>VLOOKUP($A9,'По порядку'!$A$2:$E$414,3,FALSE)</f>
        <v>ṣaṣṭhī-</v>
      </c>
      <c r="E9" t="str">
        <f>VLOOKUP($A9,'По порядку'!$A$2:$E$414,4,FALSE)</f>
        <v>tatpuruṣa</v>
      </c>
      <c r="F9" t="str">
        <f>VLOOKUP($A9,'По порядку'!$A$2:$E$414,5,FALSE)</f>
        <v>5.3</v>
      </c>
      <c r="G9" t="b">
        <v>1</v>
      </c>
    </row>
    <row r="10" spans="1:7">
      <c r="A10" s="3">
        <v>359</v>
      </c>
      <c r="B10" s="3">
        <v>9</v>
      </c>
      <c r="C10" t="s">
        <v>300</v>
      </c>
      <c r="D10" t="str">
        <f>VLOOKUP($A10,'По порядку'!$A$2:$E$414,3,FALSE)</f>
        <v>upapada-</v>
      </c>
      <c r="E10" t="str">
        <f>VLOOKUP($A10,'По порядку'!$A$2:$E$414,4,FALSE)</f>
        <v>tatpuruṣa</v>
      </c>
      <c r="F10" t="str">
        <f>VLOOKUP($A10,'По порядку'!$A$2:$E$414,5,FALSE)</f>
        <v>6.52</v>
      </c>
    </row>
    <row r="11" spans="1:7">
      <c r="A11" s="3">
        <v>367</v>
      </c>
      <c r="B11" s="3">
        <v>10</v>
      </c>
      <c r="C11" t="s">
        <v>307</v>
      </c>
      <c r="D11" t="str">
        <f>VLOOKUP($A11,'По порядку'!$A$2:$E$414,3,FALSE)</f>
        <v>upapada-</v>
      </c>
      <c r="E11" t="str">
        <f>VLOOKUP($A11,'По порядку'!$A$2:$E$414,4,FALSE)</f>
        <v>tatpuruṣa</v>
      </c>
      <c r="F11" t="str">
        <f>VLOOKUP($A11,'По порядку'!$A$2:$E$414,5,FALSE)</f>
        <v>6.56</v>
      </c>
    </row>
    <row r="12" spans="1:7">
      <c r="A12" s="3">
        <v>310</v>
      </c>
      <c r="B12" s="3">
        <v>11</v>
      </c>
      <c r="C12" t="s">
        <v>256</v>
      </c>
      <c r="D12" t="str">
        <f>VLOOKUP($A12,'По порядку'!$A$2:$E$414,3,FALSE)</f>
        <v>upapada-</v>
      </c>
      <c r="E12" t="str">
        <f>VLOOKUP($A12,'По порядку'!$A$2:$E$414,4,FALSE)</f>
        <v>tatpuruṣa</v>
      </c>
      <c r="F12" t="str">
        <f>VLOOKUP($A12,'По порядку'!$A$2:$E$414,5,FALSE)</f>
        <v>6.27</v>
      </c>
    </row>
    <row r="13" spans="1:7">
      <c r="A13" s="3">
        <v>173</v>
      </c>
      <c r="B13" s="3">
        <v>12</v>
      </c>
      <c r="C13" t="s">
        <v>154</v>
      </c>
      <c r="D13" t="str">
        <f>VLOOKUP($A13,'По порядку'!$A$2:$E$414,3,FALSE)</f>
        <v>ṣaṣṭhī-</v>
      </c>
      <c r="E13" t="str">
        <f>VLOOKUP($A13,'По порядку'!$A$2:$E$414,4,FALSE)</f>
        <v>tatpuruṣa</v>
      </c>
      <c r="F13" t="str">
        <f>VLOOKUP($A13,'По порядку'!$A$2:$E$414,5,FALSE)</f>
        <v>3.22</v>
      </c>
    </row>
    <row r="14" spans="1:7">
      <c r="A14" s="3">
        <v>376</v>
      </c>
      <c r="B14" s="3">
        <v>13</v>
      </c>
      <c r="C14" t="s">
        <v>315</v>
      </c>
      <c r="D14" t="str">
        <f>VLOOKUP($A14,'По порядку'!$A$2:$E$414,3,FALSE)</f>
        <v xml:space="preserve">viśeṣaṇapūrvapadaḥ </v>
      </c>
      <c r="E14" t="str">
        <f>VLOOKUP($A14,'По порядку'!$A$2:$E$414,4,FALSE)</f>
        <v>karmadhāraya</v>
      </c>
      <c r="F14" t="str">
        <f>VLOOKUP($A14,'По порядку'!$A$2:$E$414,5,FALSE)</f>
        <v>6.61</v>
      </c>
    </row>
    <row r="15" spans="1:7">
      <c r="A15" s="3">
        <v>327</v>
      </c>
      <c r="B15" s="3">
        <v>14</v>
      </c>
      <c r="C15" t="s">
        <v>273</v>
      </c>
      <c r="D15" t="str">
        <f>VLOOKUP($A15,'По порядку'!$A$2:$E$414,3,FALSE)</f>
        <v>ṣaṣṭhī-</v>
      </c>
      <c r="E15" t="str">
        <f>VLOOKUP($A15,'По порядку'!$A$2:$E$414,4,FALSE)</f>
        <v>tatpuruṣa</v>
      </c>
      <c r="F15" t="str">
        <f>VLOOKUP($A15,'По порядку'!$A$2:$E$414,5,FALSE)</f>
        <v>6.35</v>
      </c>
    </row>
    <row r="16" spans="1:7">
      <c r="A16" s="3">
        <v>53</v>
      </c>
      <c r="B16" s="3">
        <v>15</v>
      </c>
      <c r="C16" t="s">
        <v>47</v>
      </c>
      <c r="D16" t="str">
        <f>VLOOKUP($A16,'По порядку'!$A$2:$E$414,3,FALSE)</f>
        <v>upapada-</v>
      </c>
      <c r="E16" t="str">
        <f>VLOOKUP($A16,'По порядку'!$A$2:$E$414,4,FALSE)</f>
        <v>tatpuruṣa</v>
      </c>
      <c r="F16" t="str">
        <f>VLOOKUP($A16,'По порядку'!$A$2:$E$414,5,FALSE)</f>
        <v>1.26</v>
      </c>
    </row>
    <row r="17" spans="1:7">
      <c r="A17" s="3">
        <v>373</v>
      </c>
      <c r="B17" s="3">
        <v>16</v>
      </c>
      <c r="C17" t="s">
        <v>312</v>
      </c>
      <c r="D17" t="str">
        <f>VLOOKUP($A17,'По порядку'!$A$2:$E$414,3,FALSE)</f>
        <v xml:space="preserve">samānādhikaraṇa </v>
      </c>
      <c r="E17" t="str">
        <f>VLOOKUP($A17,'По порядку'!$A$2:$E$414,4,FALSE)</f>
        <v>bahuvrīhi</v>
      </c>
      <c r="F17" t="str">
        <f>VLOOKUP($A17,'По порядку'!$A$2:$E$414,5,FALSE)</f>
        <v>6.58</v>
      </c>
    </row>
    <row r="18" spans="1:7">
      <c r="A18" s="3">
        <v>182</v>
      </c>
      <c r="B18" s="3">
        <v>17</v>
      </c>
      <c r="C18" t="s">
        <v>160</v>
      </c>
      <c r="D18" t="str">
        <f>VLOOKUP($A18,'По порядку'!$A$2:$E$414,3,FALSE)</f>
        <v>samānādhikaraṇa-</v>
      </c>
      <c r="E18" t="str">
        <f>VLOOKUP($A18,'По порядку'!$A$2:$E$414,4,FALSE)</f>
        <v>bahuvrīhi</v>
      </c>
      <c r="F18" t="str">
        <f>VLOOKUP($A18,'По порядку'!$A$2:$E$414,5,FALSE)</f>
        <v>3.25</v>
      </c>
    </row>
    <row r="19" spans="1:7">
      <c r="A19" s="3">
        <v>372</v>
      </c>
      <c r="B19" s="3">
        <v>18</v>
      </c>
      <c r="C19" t="s">
        <v>527</v>
      </c>
      <c r="D19" t="str">
        <f>VLOOKUP($A19,'По порядку'!$A$2:$E$414,3,FALSE)</f>
        <v>ṣaṣṭhī-</v>
      </c>
      <c r="E19" t="str">
        <f>VLOOKUP($A19,'По порядку'!$A$2:$E$414,4,FALSE)</f>
        <v>tatpuruṣa</v>
      </c>
      <c r="F19" t="str">
        <f>VLOOKUP($A19,'По порядку'!$A$2:$E$414,5,FALSE)</f>
        <v>6.57</v>
      </c>
    </row>
    <row r="20" spans="1:7">
      <c r="A20" s="3">
        <v>260</v>
      </c>
      <c r="B20" s="3">
        <v>19</v>
      </c>
      <c r="C20" t="s">
        <v>218</v>
      </c>
      <c r="D20" t="str">
        <f>VLOOKUP($A20,'По порядку'!$A$2:$E$414,3,FALSE)</f>
        <v>dvitīyā-</v>
      </c>
      <c r="E20" t="str">
        <f>VLOOKUP($A20,'По порядку'!$A$2:$E$414,4,FALSE)</f>
        <v>tatpuruṣa</v>
      </c>
      <c r="F20" t="str">
        <f>VLOOKUP($A20,'По порядку'!$A$2:$E$414,5,FALSE)</f>
        <v>6.2</v>
      </c>
    </row>
    <row r="21" spans="1:7">
      <c r="A21" s="3">
        <v>169</v>
      </c>
      <c r="B21" s="3">
        <v>20</v>
      </c>
      <c r="C21" t="s">
        <v>150</v>
      </c>
      <c r="D21" t="str">
        <f>VLOOKUP($A21,'По порядку'!$A$2:$E$414,3,FALSE)</f>
        <v xml:space="preserve">viśeṣaṇapūrvapadaḥ </v>
      </c>
      <c r="E21" t="str">
        <f>VLOOKUP($A21,'По порядку'!$A$2:$E$414,4,FALSE)</f>
        <v>karmadhāraya</v>
      </c>
      <c r="F21" t="str">
        <f>VLOOKUP($A21,'По порядку'!$A$2:$E$414,5,FALSE)</f>
        <v>3.21</v>
      </c>
    </row>
    <row r="22" spans="1:7">
      <c r="A22" s="3">
        <v>240</v>
      </c>
      <c r="B22" s="3">
        <v>21</v>
      </c>
      <c r="C22" t="s">
        <v>203</v>
      </c>
      <c r="D22" t="str">
        <f>VLOOKUP($A22,'По порядку'!$A$2:$E$414,3,FALSE)</f>
        <v xml:space="preserve">viśeṣaṇapūrvapadaḥ </v>
      </c>
      <c r="E22" t="str">
        <f>VLOOKUP($A22,'По порядку'!$A$2:$E$414,4,FALSE)</f>
        <v>karmadhāraya</v>
      </c>
      <c r="F22" t="str">
        <f>VLOOKUP($A22,'По порядку'!$A$2:$E$414,5,FALSE)</f>
        <v>5.4</v>
      </c>
    </row>
    <row r="23" spans="1:7">
      <c r="A23" s="3">
        <v>168</v>
      </c>
      <c r="B23" s="3">
        <v>22</v>
      </c>
      <c r="C23" t="s">
        <v>149</v>
      </c>
      <c r="D23" t="str">
        <f>VLOOKUP($A23,'По порядку'!$A$2:$E$414,3,FALSE)</f>
        <v>ṣaṣṭhī-</v>
      </c>
      <c r="E23" t="str">
        <f>VLOOKUP($A23,'По порядку'!$A$2:$E$414,4,FALSE)</f>
        <v>tatpuruṣa</v>
      </c>
      <c r="F23" t="str">
        <f>VLOOKUP($A23,'По порядку'!$A$2:$E$414,5,FALSE)</f>
        <v>3.21</v>
      </c>
    </row>
    <row r="24" spans="1:7">
      <c r="A24" s="3">
        <v>255</v>
      </c>
      <c r="B24" s="3">
        <v>23</v>
      </c>
      <c r="C24" t="s">
        <v>214</v>
      </c>
      <c r="D24" t="str">
        <f>VLOOKUP($A24,'По порядку'!$A$2:$E$414,3,FALSE)</f>
        <v>nañ-</v>
      </c>
      <c r="E24" t="str">
        <f>VLOOKUP($A24,'По порядку'!$A$2:$E$414,4,FALSE)</f>
        <v>tatpuruṣa</v>
      </c>
      <c r="F24" t="str">
        <f>VLOOKUP($A24,'По порядку'!$A$2:$E$414,5,FALSE)</f>
        <v>6.1</v>
      </c>
    </row>
    <row r="25" spans="1:7">
      <c r="A25" s="3">
        <v>72</v>
      </c>
      <c r="B25" s="3">
        <v>24</v>
      </c>
      <c r="C25" t="s">
        <v>64</v>
      </c>
      <c r="D25" t="str">
        <f>VLOOKUP($A25,'По порядку'!$A$2:$E$414,3,FALSE)</f>
        <v>ṣaṣṭhī-</v>
      </c>
      <c r="E25" t="str">
        <f>VLOOKUP($A25,'По порядку'!$A$2:$E$414,4,FALSE)</f>
        <v>tatpuruṣa</v>
      </c>
      <c r="F25" t="str">
        <f>VLOOKUP($A25,'По порядку'!$A$2:$E$414,5,FALSE)</f>
        <v>1.35</v>
      </c>
    </row>
    <row r="26" spans="1:7">
      <c r="A26" s="3">
        <v>321</v>
      </c>
      <c r="B26" s="3">
        <v>25</v>
      </c>
      <c r="C26" t="s">
        <v>267</v>
      </c>
      <c r="D26" t="str">
        <f>VLOOKUP($A26,'По порядку'!$A$2:$E$414,3,FALSE)</f>
        <v xml:space="preserve">samānādhikaraṇa </v>
      </c>
      <c r="E26" t="str">
        <f>VLOOKUP($A26,'По порядку'!$A$2:$E$414,4,FALSE)</f>
        <v>bahuvrīhi</v>
      </c>
      <c r="F26" t="str">
        <f>VLOOKUP($A26,'По порядку'!$A$2:$E$414,5,FALSE)</f>
        <v>6.31</v>
      </c>
    </row>
    <row r="27" spans="1:7">
      <c r="A27" s="3">
        <v>292</v>
      </c>
      <c r="B27" s="3">
        <v>26</v>
      </c>
      <c r="C27" t="s">
        <v>199</v>
      </c>
      <c r="D27" t="str">
        <f>VLOOKUP($A27,'По порядку'!$A$2:$E$414,3,FALSE)</f>
        <v>upapada-</v>
      </c>
      <c r="E27" t="str">
        <f>VLOOKUP($A27,'По порядку'!$A$2:$E$414,4,FALSE)</f>
        <v>tatpuruṣa</v>
      </c>
      <c r="F27" t="str">
        <f>VLOOKUP($A27,'По порядку'!$A$2:$E$414,5,FALSE)</f>
        <v>6.16</v>
      </c>
    </row>
    <row r="28" spans="1:7">
      <c r="A28" s="3">
        <v>233</v>
      </c>
      <c r="B28" s="3">
        <v>27</v>
      </c>
      <c r="C28" t="s">
        <v>199</v>
      </c>
      <c r="D28" t="str">
        <f>VLOOKUP($A28,'По порядку'!$A$2:$E$414,3,FALSE)</f>
        <v>upapada-</v>
      </c>
      <c r="E28" t="str">
        <f>VLOOKUP($A28,'По порядку'!$A$2:$E$414,4,FALSE)</f>
        <v>tatpuruṣa</v>
      </c>
      <c r="F28" t="str">
        <f>VLOOKUP($A28,'По порядку'!$A$2:$E$414,5,FALSE)</f>
        <v>4.20</v>
      </c>
      <c r="G28" t="b">
        <v>1</v>
      </c>
    </row>
    <row r="29" spans="1:7">
      <c r="A29" s="3">
        <v>235</v>
      </c>
      <c r="B29" s="3">
        <v>28</v>
      </c>
      <c r="C29" t="s">
        <v>199</v>
      </c>
      <c r="D29" t="str">
        <f>VLOOKUP($A29,'По порядку'!$A$2:$E$414,3,FALSE)</f>
        <v>upapada-</v>
      </c>
      <c r="E29" t="str">
        <f>VLOOKUP($A29,'По порядку'!$A$2:$E$414,4,FALSE)</f>
        <v>tatpuruṣa</v>
      </c>
      <c r="F29" t="str">
        <f>VLOOKUP($A29,'По порядку'!$A$2:$E$414,5,FALSE)</f>
        <v>5.1</v>
      </c>
      <c r="G29" t="b">
        <v>1</v>
      </c>
    </row>
    <row r="30" spans="1:7">
      <c r="A30" s="3">
        <v>239</v>
      </c>
      <c r="B30" s="3">
        <v>29</v>
      </c>
      <c r="C30" t="s">
        <v>199</v>
      </c>
      <c r="D30" t="str">
        <f>VLOOKUP($A30,'По порядку'!$A$2:$E$414,3,FALSE)</f>
        <v>upapada-</v>
      </c>
      <c r="E30" t="str">
        <f>VLOOKUP($A30,'По порядку'!$A$2:$E$414,4,FALSE)</f>
        <v>tatpuruṣa</v>
      </c>
      <c r="F30" t="str">
        <f>VLOOKUP($A30,'По порядку'!$A$2:$E$414,5,FALSE)</f>
        <v>5.3</v>
      </c>
      <c r="G30" t="b">
        <v>1</v>
      </c>
    </row>
    <row r="31" spans="1:7">
      <c r="A31" s="3">
        <v>294</v>
      </c>
      <c r="B31" s="3">
        <v>30</v>
      </c>
      <c r="C31" t="s">
        <v>565</v>
      </c>
      <c r="D31" t="str">
        <f>VLOOKUP($A31,'По порядку'!$A$2:$E$414,3,FALSE)</f>
        <v>upapada-</v>
      </c>
      <c r="E31" t="str">
        <f>VLOOKUP($A31,'По порядку'!$A$2:$E$414,4,FALSE)</f>
        <v>tatpuruṣa</v>
      </c>
      <c r="F31" t="str">
        <f>VLOOKUP($A31,'По порядку'!$A$2:$E$414,5,FALSE)</f>
        <v>6.17</v>
      </c>
    </row>
    <row r="32" spans="1:7">
      <c r="A32" s="3">
        <v>406</v>
      </c>
      <c r="B32" s="3">
        <v>31</v>
      </c>
      <c r="C32" t="s">
        <v>344</v>
      </c>
      <c r="D32" t="str">
        <f>VLOOKUP($A32,'По порядку'!$A$2:$E$414,3,FALSE)</f>
        <v>upapada-</v>
      </c>
      <c r="E32" t="str">
        <f>VLOOKUP($A32,'По порядку'!$A$2:$E$414,4,FALSE)</f>
        <v>tatpuruṣa</v>
      </c>
      <c r="F32" t="str">
        <f>VLOOKUP($A32,'По порядку'!$A$2:$E$414,5,FALSE)</f>
        <v>7.5</v>
      </c>
    </row>
    <row r="33" spans="1:7">
      <c r="A33" s="3">
        <v>171</v>
      </c>
      <c r="B33" s="3">
        <v>32</v>
      </c>
      <c r="C33" t="s">
        <v>152</v>
      </c>
      <c r="D33" t="str">
        <f>VLOOKUP($A33,'По порядку'!$A$2:$E$414,3,FALSE)</f>
        <v>upapada-</v>
      </c>
      <c r="E33" t="str">
        <f>VLOOKUP($A33,'По порядку'!$A$2:$E$414,4,FALSE)</f>
        <v>tatpuruṣa</v>
      </c>
      <c r="F33" t="str">
        <f>VLOOKUP($A33,'По порядку'!$A$2:$E$414,5,FALSE)</f>
        <v>3.21</v>
      </c>
    </row>
    <row r="34" spans="1:7">
      <c r="A34" s="3">
        <v>22</v>
      </c>
      <c r="B34" s="3">
        <v>33</v>
      </c>
      <c r="C34" t="s">
        <v>20</v>
      </c>
      <c r="D34" t="str">
        <f>VLOOKUP($A34,'По порядку'!$A$2:$E$414,3,FALSE)</f>
        <v>upapada-</v>
      </c>
      <c r="E34" t="str">
        <f>VLOOKUP($A34,'По порядку'!$A$2:$E$414,4,FALSE)</f>
        <v>tatpuruṣa</v>
      </c>
      <c r="F34" t="str">
        <f>VLOOKUP($A34,'По порядку'!$A$2:$E$414,5,FALSE)</f>
        <v>1.10</v>
      </c>
    </row>
    <row r="35" spans="1:7">
      <c r="A35" s="3">
        <v>29</v>
      </c>
      <c r="B35" s="3">
        <v>34</v>
      </c>
      <c r="C35" t="s">
        <v>27</v>
      </c>
      <c r="D35" t="str">
        <f>VLOOKUP($A35,'По порядку'!$A$2:$E$414,3,FALSE)</f>
        <v>samānādhikaraṇa-</v>
      </c>
      <c r="E35" t="str">
        <f>VLOOKUP($A35,'По порядку'!$A$2:$E$414,4,FALSE)</f>
        <v>bahuvrīhi</v>
      </c>
      <c r="F35" t="str">
        <f>VLOOKUP($A35,'По порядку'!$A$2:$E$414,5,FALSE)</f>
        <v>1.16</v>
      </c>
    </row>
    <row r="36" spans="1:7">
      <c r="A36" s="3">
        <v>34</v>
      </c>
      <c r="B36" s="3">
        <v>35</v>
      </c>
      <c r="C36" t="s">
        <v>30</v>
      </c>
      <c r="D36" t="str">
        <f>VLOOKUP($A36,'По порядку'!$A$2:$E$414,3,FALSE)</f>
        <v>ṣaṣṭhī-</v>
      </c>
      <c r="E36" t="str">
        <f>VLOOKUP($A36,'По порядку'!$A$2:$E$414,4,FALSE)</f>
        <v>tatpuruṣa</v>
      </c>
      <c r="F36" t="str">
        <f>VLOOKUP($A36,'По порядку'!$A$2:$E$414,5,FALSE)</f>
        <v>1.17</v>
      </c>
    </row>
    <row r="37" spans="1:7">
      <c r="A37" s="3">
        <v>216</v>
      </c>
      <c r="B37" s="3">
        <v>36</v>
      </c>
      <c r="C37" t="s">
        <v>186</v>
      </c>
      <c r="D37" t="str">
        <f>VLOOKUP($A37,'По порядку'!$A$2:$E$414,3,FALSE)</f>
        <v>ṣaṣṭhī-</v>
      </c>
      <c r="E37" t="str">
        <f>VLOOKUP($A37,'По порядку'!$A$2:$E$414,4,FALSE)</f>
        <v>tatpuruṣa</v>
      </c>
      <c r="F37" t="str">
        <f>VLOOKUP($A37,'По порядку'!$A$2:$E$414,5,FALSE)</f>
        <v>4.12</v>
      </c>
    </row>
    <row r="38" spans="1:7">
      <c r="A38" s="3">
        <v>10</v>
      </c>
      <c r="B38" s="3">
        <v>37</v>
      </c>
      <c r="C38" t="s">
        <v>9</v>
      </c>
      <c r="D38" t="str">
        <f>VLOOKUP($A38,'По порядку'!$A$2:$E$414,3,FALSE)</f>
        <v>ṣaṣṭhī-</v>
      </c>
      <c r="E38" t="str">
        <f>VLOOKUP($A38,'По порядку'!$A$2:$E$414,4,FALSE)</f>
        <v>tatpuruṣa</v>
      </c>
      <c r="F38" t="str">
        <f>VLOOKUP($A38,'По порядку'!$A$2:$E$414,5,FALSE)</f>
        <v>1.3</v>
      </c>
    </row>
    <row r="39" spans="1:7">
      <c r="A39" s="3">
        <v>312</v>
      </c>
      <c r="B39" s="3">
        <v>38</v>
      </c>
      <c r="C39" t="s">
        <v>258</v>
      </c>
      <c r="D39" t="str">
        <f>VLOOKUP($A39,'По порядку'!$A$2:$E$414,3,FALSE)</f>
        <v>upapada-</v>
      </c>
      <c r="E39" t="str">
        <f>VLOOKUP($A39,'По порядку'!$A$2:$E$414,4,FALSE)</f>
        <v>tatpuruṣa</v>
      </c>
      <c r="F39" t="str">
        <f>VLOOKUP($A39,'По порядку'!$A$2:$E$414,5,FALSE)</f>
        <v>6.28</v>
      </c>
    </row>
    <row r="40" spans="1:7">
      <c r="A40" s="3">
        <v>297</v>
      </c>
      <c r="B40" s="3">
        <v>39</v>
      </c>
      <c r="C40" t="s">
        <v>258</v>
      </c>
      <c r="D40" t="str">
        <f>VLOOKUP($A40,'По порядку'!$A$2:$E$414,3,FALSE)</f>
        <v>upapada-</v>
      </c>
      <c r="E40" t="str">
        <f>VLOOKUP($A40,'По порядку'!$A$2:$E$414,4,FALSE)</f>
        <v>tatpuruṣa</v>
      </c>
      <c r="F40" t="str">
        <f>VLOOKUP($A40,'По порядку'!$A$2:$E$414,5,FALSE)</f>
        <v>6.19</v>
      </c>
      <c r="G40" t="b">
        <v>1</v>
      </c>
    </row>
    <row r="41" spans="1:7">
      <c r="A41" s="3">
        <v>323</v>
      </c>
      <c r="B41" s="3">
        <v>40</v>
      </c>
      <c r="C41" t="s">
        <v>269</v>
      </c>
      <c r="D41" t="str">
        <f>VLOOKUP($A41,'По порядку'!$A$2:$E$414,3,FALSE)</f>
        <v>upapada-</v>
      </c>
      <c r="E41" t="str">
        <f>VLOOKUP($A41,'По порядку'!$A$2:$E$414,4,FALSE)</f>
        <v>tatpuruṣa</v>
      </c>
      <c r="F41" t="str">
        <f>VLOOKUP($A41,'По порядку'!$A$2:$E$414,5,FALSE)</f>
        <v>6.32</v>
      </c>
    </row>
    <row r="42" spans="1:7">
      <c r="A42" s="3">
        <v>181</v>
      </c>
      <c r="B42" s="3">
        <v>41</v>
      </c>
      <c r="C42" t="s">
        <v>159</v>
      </c>
      <c r="D42" t="str">
        <f>VLOOKUP($A42,'По порядку'!$A$2:$E$414,3,FALSE)</f>
        <v>ṣaṣṭhī-</v>
      </c>
      <c r="E42" t="str">
        <f>VLOOKUP($A42,'По порядку'!$A$2:$E$414,4,FALSE)</f>
        <v>tatpuruṣa</v>
      </c>
      <c r="F42" t="str">
        <f>VLOOKUP($A42,'По порядку'!$A$2:$E$414,5,FALSE)</f>
        <v>3.24</v>
      </c>
    </row>
    <row r="43" spans="1:7">
      <c r="A43" s="3">
        <v>356</v>
      </c>
      <c r="B43" s="3">
        <v>42</v>
      </c>
      <c r="C43" t="s">
        <v>297</v>
      </c>
      <c r="D43" t="str">
        <f>VLOOKUP($A43,'По порядку'!$A$2:$E$414,3,FALSE)</f>
        <v xml:space="preserve">samānādhikaraṇa </v>
      </c>
      <c r="E43" t="str">
        <f>VLOOKUP($A43,'По порядку'!$A$2:$E$414,4,FALSE)</f>
        <v>bahuvrīhi</v>
      </c>
      <c r="F43" t="str">
        <f>VLOOKUP($A43,'По порядку'!$A$2:$E$414,5,FALSE)</f>
        <v>6.51</v>
      </c>
    </row>
    <row r="44" spans="1:7">
      <c r="A44" s="3">
        <v>82</v>
      </c>
      <c r="B44" s="3">
        <v>43</v>
      </c>
      <c r="C44" t="s">
        <v>555</v>
      </c>
      <c r="D44" t="str">
        <f>VLOOKUP($A44,'По порядку'!$A$2:$E$414,3,FALSE)</f>
        <v xml:space="preserve">viśeṣaṇapūrvapadaḥ </v>
      </c>
      <c r="E44" t="str">
        <f>VLOOKUP($A44,'По порядку'!$A$2:$E$414,4,FALSE)</f>
        <v>karmadhāraya</v>
      </c>
      <c r="F44" t="str">
        <f>VLOOKUP($A44,'По порядку'!$A$2:$E$414,5,FALSE)</f>
        <v>1.38</v>
      </c>
    </row>
    <row r="45" spans="1:7">
      <c r="A45" s="3">
        <v>188</v>
      </c>
      <c r="B45" s="3">
        <v>44</v>
      </c>
      <c r="C45" t="s">
        <v>165</v>
      </c>
      <c r="D45" t="str">
        <f>VLOOKUP($A45,'По порядку'!$A$2:$E$414,3,FALSE)</f>
        <v>upapada-</v>
      </c>
      <c r="E45" t="str">
        <f>VLOOKUP($A45,'По порядку'!$A$2:$E$414,4,FALSE)</f>
        <v>tatpuruṣa</v>
      </c>
      <c r="F45" t="str">
        <f>VLOOKUP($A45,'По порядку'!$A$2:$E$414,5,FALSE)</f>
        <v>3.27</v>
      </c>
    </row>
    <row r="46" spans="1:7">
      <c r="A46" s="3">
        <v>286</v>
      </c>
      <c r="B46" s="3">
        <v>45</v>
      </c>
      <c r="C46" t="s">
        <v>241</v>
      </c>
      <c r="D46" t="str">
        <f>VLOOKUP($A46,'По порядку'!$A$2:$E$414,3,FALSE)</f>
        <v>ṣaṣṭhī-</v>
      </c>
      <c r="E46" t="str">
        <f>VLOOKUP($A46,'По порядку'!$A$2:$E$414,4,FALSE)</f>
        <v>tatpuruṣa</v>
      </c>
      <c r="F46" t="str">
        <f>VLOOKUP($A46,'По порядку'!$A$2:$E$414,5,FALSE)</f>
        <v>6.13</v>
      </c>
    </row>
    <row r="47" spans="1:7">
      <c r="A47" s="3">
        <v>257</v>
      </c>
      <c r="B47" s="3">
        <v>46</v>
      </c>
      <c r="C47" t="s">
        <v>216</v>
      </c>
      <c r="D47" t="str">
        <f>VLOOKUP($A47,'По порядку'!$A$2:$E$414,3,FALSE)</f>
        <v>ṣaṣṭhī-</v>
      </c>
      <c r="E47" t="str">
        <f>VLOOKUP($A47,'По порядку'!$A$2:$E$414,4,FALSE)</f>
        <v>tatpuruṣa</v>
      </c>
      <c r="F47" t="str">
        <f>VLOOKUP($A47,'По порядку'!$A$2:$E$414,5,FALSE)</f>
        <v>6.1</v>
      </c>
    </row>
    <row r="48" spans="1:7">
      <c r="A48" s="3">
        <v>378</v>
      </c>
      <c r="B48" s="3">
        <v>47</v>
      </c>
      <c r="C48" t="s">
        <v>317</v>
      </c>
      <c r="D48" t="str">
        <f>VLOOKUP($A48,'По порядку'!$A$2:$E$414,3,FALSE)</f>
        <v>ṣaṣṭhī-</v>
      </c>
      <c r="E48" t="str">
        <f>VLOOKUP($A48,'По порядку'!$A$2:$E$414,4,FALSE)</f>
        <v>tatpuruṣa</v>
      </c>
      <c r="F48" t="str">
        <f>VLOOKUP($A48,'По порядку'!$A$2:$E$414,5,FALSE)</f>
        <v>6.61</v>
      </c>
    </row>
    <row r="49" spans="1:6">
      <c r="A49" s="3">
        <v>160</v>
      </c>
      <c r="B49" s="3">
        <v>48</v>
      </c>
      <c r="C49" t="s">
        <v>142</v>
      </c>
      <c r="D49" t="str">
        <f>VLOOKUP($A49,'По порядку'!$A$2:$E$414,3,FALSE)</f>
        <v>ṣaṣṭhī-</v>
      </c>
      <c r="E49" t="str">
        <f>VLOOKUP($A49,'По порядку'!$A$2:$E$414,4,FALSE)</f>
        <v>tatpuruṣa</v>
      </c>
      <c r="F49" t="str">
        <f>VLOOKUP($A49,'По порядку'!$A$2:$E$414,5,FALSE)</f>
        <v>3.15</v>
      </c>
    </row>
    <row r="50" spans="1:6">
      <c r="A50" s="3">
        <v>246</v>
      </c>
      <c r="B50" s="3">
        <v>49</v>
      </c>
      <c r="C50" t="s">
        <v>208</v>
      </c>
      <c r="D50" t="str">
        <f>VLOOKUP($A50,'По порядку'!$A$2:$E$414,3,FALSE)</f>
        <v>itaretara-</v>
      </c>
      <c r="E50" t="str">
        <f>VLOOKUP($A50,'По порядку'!$A$2:$E$414,4,FALSE)</f>
        <v>dvandva</v>
      </c>
      <c r="F50" t="str">
        <f>VLOOKUP($A50,'По порядку'!$A$2:$E$414,5,FALSE)</f>
        <v>5.7</v>
      </c>
    </row>
    <row r="51" spans="1:6">
      <c r="A51" s="3">
        <v>245</v>
      </c>
      <c r="B51" s="3">
        <v>50</v>
      </c>
      <c r="C51" t="s">
        <v>207</v>
      </c>
      <c r="D51" t="str">
        <f>VLOOKUP($A51,'По порядку'!$A$2:$E$414,3,FALSE)</f>
        <v>tṛtīyā-</v>
      </c>
      <c r="E51" t="str">
        <f>VLOOKUP($A51,'По порядку'!$A$2:$E$414,4,FALSE)</f>
        <v>tatpuruṣa</v>
      </c>
      <c r="F51" t="str">
        <f>VLOOKUP($A51,'По порядку'!$A$2:$E$414,5,FALSE)</f>
        <v>5.7</v>
      </c>
    </row>
    <row r="52" spans="1:6">
      <c r="A52" s="3">
        <v>244</v>
      </c>
      <c r="B52" s="3">
        <v>51</v>
      </c>
      <c r="C52" t="s">
        <v>206</v>
      </c>
      <c r="D52" t="str">
        <f>VLOOKUP($A52,'По порядку'!$A$2:$E$414,3,FALSE)</f>
        <v xml:space="preserve">samānādhikaraṇa </v>
      </c>
      <c r="E52" t="str">
        <f>VLOOKUP($A52,'По порядку'!$A$2:$E$414,4,FALSE)</f>
        <v>bahuvrīhi</v>
      </c>
      <c r="F52" t="str">
        <f>VLOOKUP($A52,'По порядку'!$A$2:$E$414,5,FALSE)</f>
        <v>5.7</v>
      </c>
    </row>
    <row r="53" spans="1:6">
      <c r="A53" s="3">
        <v>145</v>
      </c>
      <c r="B53" s="3">
        <v>52</v>
      </c>
      <c r="C53" t="s">
        <v>129</v>
      </c>
      <c r="D53" t="str">
        <f>VLOOKUP($A53,'По порядку'!$A$2:$E$414,3,FALSE)</f>
        <v>tṛtīyā-</v>
      </c>
      <c r="E53" t="str">
        <f>VLOOKUP($A53,'По порядку'!$A$2:$E$414,4,FALSE)</f>
        <v>tatpuruṣa</v>
      </c>
      <c r="F53" t="str">
        <f>VLOOKUP($A53,'По порядку'!$A$2:$E$414,5,FALSE)</f>
        <v>3.8</v>
      </c>
    </row>
    <row r="54" spans="1:6">
      <c r="A54" s="3">
        <v>144</v>
      </c>
      <c r="B54" s="3">
        <v>53</v>
      </c>
      <c r="C54" t="s">
        <v>128</v>
      </c>
      <c r="D54" t="str">
        <f>VLOOKUP($A54,'По порядку'!$A$2:$E$414,3,FALSE)</f>
        <v>tṛtīyā-</v>
      </c>
      <c r="E54" t="str">
        <f>VLOOKUP($A54,'По порядку'!$A$2:$E$414,4,FALSE)</f>
        <v>tatpuruṣa</v>
      </c>
      <c r="F54" t="str">
        <f>VLOOKUP($A54,'По порядку'!$A$2:$E$414,5,FALSE)</f>
        <v>3.8</v>
      </c>
    </row>
    <row r="55" spans="1:6">
      <c r="A55" s="3">
        <v>326</v>
      </c>
      <c r="B55" s="3">
        <v>54</v>
      </c>
      <c r="C55" t="s">
        <v>272</v>
      </c>
      <c r="D55" t="str">
        <f>VLOOKUP($A55,'По порядку'!$A$2:$E$414,3,FALSE)</f>
        <v xml:space="preserve">viśeṣaṇapūrvapadaḥ </v>
      </c>
      <c r="E55" t="str">
        <f>VLOOKUP($A55,'По порядку'!$A$2:$E$414,4,FALSE)</f>
        <v>karmadhāraya</v>
      </c>
      <c r="F55" t="str">
        <f>VLOOKUP($A55,'По порядку'!$A$2:$E$414,5,FALSE)</f>
        <v>6.34</v>
      </c>
    </row>
    <row r="56" spans="1:6">
      <c r="A56" s="3">
        <v>325</v>
      </c>
      <c r="B56" s="3">
        <v>55</v>
      </c>
      <c r="C56" t="s">
        <v>271</v>
      </c>
      <c r="D56" t="str">
        <f>VLOOKUP($A56,'По порядку'!$A$2:$E$414,3,FALSE)</f>
        <v>upapada-</v>
      </c>
      <c r="E56" t="str">
        <f>VLOOKUP($A56,'По порядку'!$A$2:$E$414,4,FALSE)</f>
        <v>tatpuruṣa</v>
      </c>
      <c r="F56" t="str">
        <f>VLOOKUP($A56,'По порядку'!$A$2:$E$414,5,FALSE)</f>
        <v>6.34</v>
      </c>
    </row>
    <row r="57" spans="1:6">
      <c r="A57" s="3">
        <v>360</v>
      </c>
      <c r="B57" s="3">
        <v>56</v>
      </c>
      <c r="C57" t="s">
        <v>301</v>
      </c>
      <c r="D57" t="str">
        <f>VLOOKUP($A57,'По порядку'!$A$2:$E$414,3,FALSE)</f>
        <v>saptamī-</v>
      </c>
      <c r="E57" t="str">
        <f>VLOOKUP($A57,'По порядку'!$A$2:$E$414,4,FALSE)</f>
        <v>tatpuruṣa</v>
      </c>
      <c r="F57" t="str">
        <f>VLOOKUP($A57,'По порядку'!$A$2:$E$414,5,FALSE)</f>
        <v>6.53</v>
      </c>
    </row>
    <row r="58" spans="1:6">
      <c r="A58" s="3">
        <v>331</v>
      </c>
      <c r="B58" s="3">
        <v>57</v>
      </c>
      <c r="C58" t="s">
        <v>277</v>
      </c>
      <c r="D58" t="str">
        <f>VLOOKUP($A58,'По порядку'!$A$2:$E$414,3,FALSE)</f>
        <v xml:space="preserve">samānādhikaraṇa </v>
      </c>
      <c r="E58" t="str">
        <f>VLOOKUP($A58,'По порядку'!$A$2:$E$414,4,FALSE)</f>
        <v>bahuvrīhi</v>
      </c>
      <c r="F58" t="str">
        <f>VLOOKUP($A58,'По порядку'!$A$2:$E$414,5,FALSE)</f>
        <v>6.38</v>
      </c>
    </row>
    <row r="59" spans="1:6">
      <c r="A59" s="3">
        <v>276</v>
      </c>
      <c r="B59" s="3">
        <v>58</v>
      </c>
      <c r="C59" t="s">
        <v>232</v>
      </c>
      <c r="D59" t="str">
        <f>VLOOKUP($A59,'По порядку'!$A$2:$E$414,3,FALSE)</f>
        <v xml:space="preserve">samānādhikaraṇa </v>
      </c>
      <c r="E59" t="str">
        <f>VLOOKUP($A59,'По порядку'!$A$2:$E$414,4,FALSE)</f>
        <v>bahuvrīhi</v>
      </c>
      <c r="F59" t="str">
        <f>VLOOKUP($A59,'По порядку'!$A$2:$E$414,5,FALSE)</f>
        <v>6.8</v>
      </c>
    </row>
    <row r="60" spans="1:6">
      <c r="A60" s="3">
        <v>9</v>
      </c>
      <c r="B60" s="3">
        <v>59</v>
      </c>
      <c r="C60" t="s">
        <v>8</v>
      </c>
      <c r="D60" t="str">
        <f>VLOOKUP($A60,'По порядку'!$A$2:$E$414,3,FALSE)</f>
        <v>itaretara-</v>
      </c>
      <c r="E60" t="str">
        <f>VLOOKUP($A60,'По порядку'!$A$2:$E$414,4,FALSE)</f>
        <v>dvandva</v>
      </c>
      <c r="F60" t="str">
        <f>VLOOKUP($A60,'По порядку'!$A$2:$E$414,5,FALSE)</f>
        <v>1.2</v>
      </c>
    </row>
    <row r="61" spans="1:6">
      <c r="A61" s="3">
        <v>290</v>
      </c>
      <c r="B61" s="3">
        <v>60</v>
      </c>
      <c r="C61" t="s">
        <v>563</v>
      </c>
      <c r="D61" t="str">
        <f>VLOOKUP($A61,'По порядку'!$A$2:$E$414,3,FALSE)</f>
        <v xml:space="preserve">samānādhikaraṇa </v>
      </c>
      <c r="E61" t="str">
        <f>VLOOKUP($A61,'По порядку'!$A$2:$E$414,4,FALSE)</f>
        <v>bahuvrīhi</v>
      </c>
      <c r="F61" t="str">
        <f>VLOOKUP($A61,'По порядку'!$A$2:$E$414,5,FALSE)</f>
        <v>6.15</v>
      </c>
    </row>
    <row r="62" spans="1:6">
      <c r="A62" s="3">
        <v>138</v>
      </c>
      <c r="B62" s="3">
        <v>61</v>
      </c>
      <c r="C62" t="s">
        <v>122</v>
      </c>
      <c r="D62" t="str">
        <f>VLOOKUP($A62,'По порядку'!$A$2:$E$414,3,FALSE)</f>
        <v xml:space="preserve">vyadhikaraṇa </v>
      </c>
      <c r="E62" t="str">
        <f>VLOOKUP($A62,'По порядку'!$A$2:$E$414,4,FALSE)</f>
        <v>bahuvrīhi</v>
      </c>
      <c r="F62" t="str">
        <f>VLOOKUP($A62,'По порядку'!$A$2:$E$414,5,FALSE)</f>
        <v>3.4</v>
      </c>
    </row>
    <row r="63" spans="1:6">
      <c r="A63" s="3">
        <v>211</v>
      </c>
      <c r="B63" s="3">
        <v>62</v>
      </c>
      <c r="C63" t="s">
        <v>183</v>
      </c>
      <c r="D63" t="str">
        <f>VLOOKUP($A63,'По порядку'!$A$2:$E$414,3,FALSE)</f>
        <v>samānādhikaraṇa-</v>
      </c>
      <c r="E63" t="str">
        <f>VLOOKUP($A63,'По порядку'!$A$2:$E$414,4,FALSE)</f>
        <v>bahuvrīhi</v>
      </c>
      <c r="F63" t="str">
        <f>VLOOKUP($A63,'По порядку'!$A$2:$E$414,5,FALSE)</f>
        <v>4.9</v>
      </c>
    </row>
    <row r="64" spans="1:6">
      <c r="A64" s="3">
        <v>157</v>
      </c>
      <c r="B64" s="3">
        <v>63</v>
      </c>
      <c r="C64" t="s">
        <v>140</v>
      </c>
      <c r="D64" t="str">
        <f>VLOOKUP($A64,'По порядку'!$A$2:$E$414,3,FALSE)</f>
        <v>samānādhikaraṇa-</v>
      </c>
      <c r="E64" t="str">
        <f>VLOOKUP($A64,'По порядку'!$A$2:$E$414,4,FALSE)</f>
        <v>bahuvrīhi</v>
      </c>
      <c r="F64" t="str">
        <f>VLOOKUP($A64,'По порядку'!$A$2:$E$414,5,FALSE)</f>
        <v>3.13</v>
      </c>
    </row>
    <row r="65" spans="1:6">
      <c r="A65" s="3">
        <v>80</v>
      </c>
      <c r="B65" s="3">
        <v>64</v>
      </c>
      <c r="C65" t="s">
        <v>554</v>
      </c>
      <c r="D65" t="str">
        <f>VLOOKUP($A65,'По порядку'!$A$2:$E$414,3,FALSE)</f>
        <v>samānādhikaraṇa-</v>
      </c>
      <c r="E65" t="str">
        <f>VLOOKUP($A65,'По порядку'!$A$2:$E$414,4,FALSE)</f>
        <v>bahuvrīhi</v>
      </c>
      <c r="F65" t="str">
        <f>VLOOKUP($A65,'По порядку'!$A$2:$E$414,5,FALSE)</f>
        <v>1.38</v>
      </c>
    </row>
    <row r="66" spans="1:6">
      <c r="A66" s="3">
        <v>147</v>
      </c>
      <c r="B66" s="3">
        <v>65</v>
      </c>
      <c r="C66" t="s">
        <v>131</v>
      </c>
      <c r="D66" t="str">
        <f>VLOOKUP($A66,'По порядку'!$A$2:$E$414,3,FALSE)</f>
        <v>samānādhikaraṇa-</v>
      </c>
      <c r="E66" t="str">
        <f>VLOOKUP($A66,'По порядку'!$A$2:$E$414,4,FALSE)</f>
        <v>bahuvrīhi</v>
      </c>
      <c r="F66" t="str">
        <f>VLOOKUP($A66,'По порядку'!$A$2:$E$414,5,FALSE)</f>
        <v>3.9</v>
      </c>
    </row>
    <row r="67" spans="1:6">
      <c r="A67" s="3">
        <v>183</v>
      </c>
      <c r="B67" s="3">
        <v>66</v>
      </c>
      <c r="C67" t="s">
        <v>161</v>
      </c>
      <c r="D67" t="str">
        <f>VLOOKUP($A67,'По порядку'!$A$2:$E$414,3,FALSE)</f>
        <v>samānādhikaraṇa-</v>
      </c>
      <c r="E67" t="str">
        <f>VLOOKUP($A67,'По порядку'!$A$2:$E$414,4,FALSE)</f>
        <v>bahuvrīhi</v>
      </c>
      <c r="F67" t="str">
        <f>VLOOKUP($A67,'По порядку'!$A$2:$E$414,5,FALSE)</f>
        <v>3.25</v>
      </c>
    </row>
    <row r="68" spans="1:6">
      <c r="A68" s="3">
        <v>115</v>
      </c>
      <c r="B68" s="3">
        <v>67</v>
      </c>
      <c r="C68" t="s">
        <v>99</v>
      </c>
      <c r="D68" t="str">
        <f>VLOOKUP($A68,'По порядку'!$A$2:$E$414,3,FALSE)</f>
        <v>ṣaṣṭhī-</v>
      </c>
      <c r="E68" t="str">
        <f>VLOOKUP($A68,'По порядку'!$A$2:$E$414,4,FALSE)</f>
        <v>tatpuruṣa</v>
      </c>
      <c r="F68" t="str">
        <f>VLOOKUP($A68,'По порядку'!$A$2:$E$414,5,FALSE)</f>
        <v>2.14</v>
      </c>
    </row>
    <row r="69" spans="1:6">
      <c r="A69" s="3">
        <v>293</v>
      </c>
      <c r="B69" s="3">
        <v>68</v>
      </c>
      <c r="C69" t="s">
        <v>564</v>
      </c>
      <c r="D69" t="str">
        <f>VLOOKUP($A69,'По порядку'!$A$2:$E$414,3,FALSE)</f>
        <v>ṣaṣṭhī-</v>
      </c>
      <c r="E69" t="str">
        <f>VLOOKUP($A69,'По порядку'!$A$2:$E$414,4,FALSE)</f>
        <v>tatpuruṣa</v>
      </c>
      <c r="F69" t="str">
        <f>VLOOKUP($A69,'По порядку'!$A$2:$E$414,5,FALSE)</f>
        <v>6.17</v>
      </c>
    </row>
    <row r="70" spans="1:6">
      <c r="A70" s="3">
        <v>105</v>
      </c>
      <c r="B70" s="3">
        <v>69</v>
      </c>
      <c r="C70" t="s">
        <v>556</v>
      </c>
      <c r="D70" t="str">
        <f>VLOOKUP($A70,'По порядку'!$A$2:$E$414,3,FALSE)</f>
        <v>ṣaṣṭhī-</v>
      </c>
      <c r="E70" t="str">
        <f>VLOOKUP($A70,'По порядку'!$A$2:$E$414,4,FALSE)</f>
        <v>tatpuruṣa</v>
      </c>
      <c r="F70" t="str">
        <f>VLOOKUP($A70,'По порядку'!$A$2:$E$414,5,FALSE)</f>
        <v>2.8</v>
      </c>
    </row>
    <row r="71" spans="1:6">
      <c r="A71" s="3">
        <v>345</v>
      </c>
      <c r="B71" s="3">
        <v>70</v>
      </c>
      <c r="C71" t="s">
        <v>288</v>
      </c>
      <c r="D71" t="str">
        <f>VLOOKUP($A71,'По порядку'!$A$2:$E$414,3,FALSE)</f>
        <v xml:space="preserve">samānādhikaraṇa </v>
      </c>
      <c r="E71" t="str">
        <f>VLOOKUP($A71,'По порядку'!$A$2:$E$414,4,FALSE)</f>
        <v>bahuvrīhi</v>
      </c>
      <c r="F71" t="str">
        <f>VLOOKUP($A71,'По порядку'!$A$2:$E$414,5,FALSE)</f>
        <v>6.47</v>
      </c>
    </row>
    <row r="72" spans="1:6">
      <c r="A72" s="3">
        <v>38</v>
      </c>
      <c r="B72" s="3">
        <v>71</v>
      </c>
      <c r="C72" t="s">
        <v>34</v>
      </c>
      <c r="D72" t="str">
        <f>VLOOKUP($A72,'По порядку'!$A$2:$E$414,3,FALSE)</f>
        <v>samānādhikaraṇa-</v>
      </c>
      <c r="E72" t="str">
        <f>VLOOKUP($A72,'По порядку'!$A$2:$E$414,4,FALSE)</f>
        <v>bahuvrīhi</v>
      </c>
      <c r="F72" t="str">
        <f>VLOOKUP($A72,'По порядку'!$A$2:$E$414,5,FALSE)</f>
        <v>1.18</v>
      </c>
    </row>
    <row r="73" spans="1:6">
      <c r="A73" s="3">
        <v>79</v>
      </c>
      <c r="B73" s="3">
        <v>72</v>
      </c>
      <c r="C73" t="s">
        <v>71</v>
      </c>
      <c r="D73" t="str">
        <f>VLOOKUP($A73,'По порядку'!$A$2:$E$414,3,FALSE)</f>
        <v>ṣaṣṭhī-</v>
      </c>
      <c r="E73" t="str">
        <f>VLOOKUP($A73,'По порядку'!$A$2:$E$414,4,FALSE)</f>
        <v>tatpuruṣa</v>
      </c>
      <c r="F73" t="str">
        <f>VLOOKUP($A73,'По порядку'!$A$2:$E$414,5,FALSE)</f>
        <v>1.38</v>
      </c>
    </row>
    <row r="74" spans="1:6">
      <c r="A74" s="3">
        <v>177</v>
      </c>
      <c r="B74" s="3">
        <v>73</v>
      </c>
      <c r="C74" t="s">
        <v>156</v>
      </c>
      <c r="D74" t="str">
        <f>VLOOKUP($A74,'По порядку'!$A$2:$E$414,3,FALSE)</f>
        <v>ṣaṣṭhī-</v>
      </c>
      <c r="E74" t="str">
        <f>VLOOKUP($A74,'По порядку'!$A$2:$E$414,4,FALSE)</f>
        <v>tatpuruṣa</v>
      </c>
      <c r="F74" t="str">
        <f>VLOOKUP($A74,'По порядку'!$A$2:$E$414,5,FALSE)</f>
        <v>3.23</v>
      </c>
    </row>
    <row r="75" spans="1:6">
      <c r="A75" s="3">
        <v>119</v>
      </c>
      <c r="B75" s="3">
        <v>74</v>
      </c>
      <c r="C75" t="s">
        <v>104</v>
      </c>
      <c r="D75" t="str">
        <f>VLOOKUP($A75,'По порядку'!$A$2:$E$414,3,FALSE)</f>
        <v xml:space="preserve">viśeṣaṇapūrvapadaḥ </v>
      </c>
      <c r="E75" t="str">
        <f>VLOOKUP($A75,'По порядку'!$A$2:$E$414,4,FALSE)</f>
        <v>karmadhāraya</v>
      </c>
      <c r="F75" t="str">
        <f>VLOOKUP($A75,'По порядку'!$A$2:$E$414,5,FALSE)</f>
        <v>2.16</v>
      </c>
    </row>
    <row r="76" spans="1:6">
      <c r="A76" s="3">
        <v>118</v>
      </c>
      <c r="B76" s="3">
        <v>75</v>
      </c>
      <c r="C76" t="s">
        <v>103</v>
      </c>
      <c r="D76" t="str">
        <f>VLOOKUP($A76,'По порядку'!$A$2:$E$414,3,FALSE)</f>
        <v>upapada-</v>
      </c>
      <c r="E76" t="str">
        <f>VLOOKUP($A76,'По порядку'!$A$2:$E$414,4,FALSE)</f>
        <v>tatpuruṣa</v>
      </c>
      <c r="F76" t="str">
        <f>VLOOKUP($A76,'По порядку'!$A$2:$E$414,5,FALSE)</f>
        <v>2.16</v>
      </c>
    </row>
    <row r="77" spans="1:6">
      <c r="A77" s="3">
        <v>107</v>
      </c>
      <c r="B77" s="3">
        <v>76</v>
      </c>
      <c r="C77" t="s">
        <v>91</v>
      </c>
      <c r="D77" t="str">
        <f>VLOOKUP($A77,'По порядку'!$A$2:$E$414,3,FALSE)</f>
        <v xml:space="preserve">viśeṣaṇapūrvapadaḥ </v>
      </c>
      <c r="E77" t="str">
        <f>VLOOKUP($A77,'По порядку'!$A$2:$E$414,4,FALSE)</f>
        <v>karmadhāraya</v>
      </c>
      <c r="F77" t="str">
        <f>VLOOKUP($A77,'По порядку'!$A$2:$E$414,5,FALSE)</f>
        <v>2.10</v>
      </c>
    </row>
    <row r="78" spans="1:6">
      <c r="A78" s="3">
        <v>121</v>
      </c>
      <c r="B78" s="3">
        <v>77</v>
      </c>
      <c r="C78" t="s">
        <v>106</v>
      </c>
      <c r="D78" t="str">
        <f>VLOOKUP($A78,'По порядку'!$A$2:$E$414,3,FALSE)</f>
        <v>itaretara-</v>
      </c>
      <c r="E78" t="str">
        <f>VLOOKUP($A78,'По порядку'!$A$2:$E$414,4,FALSE)</f>
        <v>dvandva</v>
      </c>
      <c r="F78" t="str">
        <f>VLOOKUP($A78,'По порядку'!$A$2:$E$414,5,FALSE)</f>
        <v>2.16</v>
      </c>
    </row>
    <row r="79" spans="1:6">
      <c r="A79" s="3">
        <v>120</v>
      </c>
      <c r="B79" s="3">
        <v>78</v>
      </c>
      <c r="C79" t="s">
        <v>105</v>
      </c>
      <c r="D79" t="str">
        <f>VLOOKUP($A79,'По порядку'!$A$2:$E$414,3,FALSE)</f>
        <v>upapada-</v>
      </c>
      <c r="E79" t="str">
        <f>VLOOKUP($A79,'По порядку'!$A$2:$E$414,4,FALSE)</f>
        <v>tatpuruṣa</v>
      </c>
      <c r="F79" t="str">
        <f>VLOOKUP($A79,'По порядку'!$A$2:$E$414,5,FALSE)</f>
        <v>2.16</v>
      </c>
    </row>
    <row r="80" spans="1:6">
      <c r="A80" s="3">
        <v>254</v>
      </c>
      <c r="B80" s="3">
        <v>79</v>
      </c>
      <c r="C80" t="s">
        <v>209</v>
      </c>
      <c r="D80" t="str">
        <f>VLOOKUP($A80,'По порядку'!$A$2:$E$414,3,FALSE)</f>
        <v>saptamī-</v>
      </c>
      <c r="E80" t="str">
        <f>VLOOKUP($A80,'По порядку'!$A$2:$E$414,4,FALSE)</f>
        <v>tatpuruṣa</v>
      </c>
      <c r="F80" t="str">
        <f>VLOOKUP($A80,'По порядку'!$A$2:$E$414,5,FALSE)</f>
        <v>5.14</v>
      </c>
    </row>
    <row r="81" spans="1:7">
      <c r="A81" s="3">
        <v>247</v>
      </c>
      <c r="B81" s="3">
        <v>80</v>
      </c>
      <c r="C81" t="s">
        <v>209</v>
      </c>
      <c r="D81" t="str">
        <f>VLOOKUP($A81,'По порядку'!$A$2:$E$414,3,FALSE)</f>
        <v>saptamī-</v>
      </c>
      <c r="E81" t="str">
        <f>VLOOKUP($A81,'По порядку'!$A$2:$E$414,4,FALSE)</f>
        <v>tatpuruṣa</v>
      </c>
      <c r="F81" t="str">
        <f>VLOOKUP($A81,'По порядку'!$A$2:$E$414,5,FALSE)</f>
        <v>5.9</v>
      </c>
      <c r="G81" t="b">
        <v>1</v>
      </c>
    </row>
    <row r="82" spans="1:7">
      <c r="A82" s="3">
        <v>178</v>
      </c>
      <c r="B82" s="3">
        <v>81</v>
      </c>
      <c r="C82" t="s">
        <v>157</v>
      </c>
      <c r="D82" t="str">
        <f>VLOOKUP($A82,'По порядку'!$A$2:$E$414,3,FALSE)</f>
        <v>samānādhikaraṇa-</v>
      </c>
      <c r="E82" t="str">
        <f>VLOOKUP($A82,'По порядку'!$A$2:$E$414,4,FALSE)</f>
        <v>bahuvrīhi</v>
      </c>
      <c r="F82" t="str">
        <f>VLOOKUP($A82,'По порядку'!$A$2:$E$414,5,FALSE)</f>
        <v>3.23</v>
      </c>
    </row>
    <row r="83" spans="1:7">
      <c r="A83" s="3">
        <v>357</v>
      </c>
      <c r="B83" s="3">
        <v>82</v>
      </c>
      <c r="C83" t="s">
        <v>298</v>
      </c>
      <c r="D83" t="str">
        <f>VLOOKUP($A83,'По порядку'!$A$2:$E$414,3,FALSE)</f>
        <v>ṣaṣṭhī-</v>
      </c>
      <c r="E83" t="str">
        <f>VLOOKUP($A83,'По порядку'!$A$2:$E$414,4,FALSE)</f>
        <v>tatpuruṣa</v>
      </c>
      <c r="F83" t="str">
        <f>VLOOKUP($A83,'По порядку'!$A$2:$E$414,5,FALSE)</f>
        <v>6.52</v>
      </c>
    </row>
    <row r="84" spans="1:7">
      <c r="A84" s="3">
        <v>302</v>
      </c>
      <c r="B84" s="3">
        <v>83</v>
      </c>
      <c r="C84" t="s">
        <v>566</v>
      </c>
      <c r="D84" t="str">
        <f>VLOOKUP($A84,'По порядку'!$A$2:$E$414,3,FALSE)</f>
        <v>ṣaṣṭhī-</v>
      </c>
      <c r="E84" t="str">
        <f>VLOOKUP($A84,'По порядку'!$A$2:$E$414,4,FALSE)</f>
        <v>tatpuruṣa</v>
      </c>
      <c r="F84" t="str">
        <f>VLOOKUP($A84,'По порядку'!$A$2:$E$414,5,FALSE)</f>
        <v>6.24</v>
      </c>
    </row>
    <row r="85" spans="1:7">
      <c r="A85" s="3">
        <v>405</v>
      </c>
      <c r="B85" s="3">
        <v>84</v>
      </c>
      <c r="C85" t="s">
        <v>343</v>
      </c>
      <c r="D85" t="str">
        <f>VLOOKUP($A85,'По порядку'!$A$2:$E$414,3,FALSE)</f>
        <v>ṣaṣṭhī-</v>
      </c>
      <c r="E85" t="str">
        <f>VLOOKUP($A85,'По порядку'!$A$2:$E$414,4,FALSE)</f>
        <v>tatpuruṣa</v>
      </c>
      <c r="F85" t="str">
        <f>VLOOKUP($A85,'По порядку'!$A$2:$E$414,5,FALSE)</f>
        <v>7.5</v>
      </c>
    </row>
    <row r="86" spans="1:7">
      <c r="A86" s="3">
        <v>170</v>
      </c>
      <c r="B86" s="3">
        <v>85</v>
      </c>
      <c r="C86" t="s">
        <v>151</v>
      </c>
      <c r="D86" t="str">
        <f>VLOOKUP($A86,'По порядку'!$A$2:$E$414,3,FALSE)</f>
        <v>ṣaṣṭhī-</v>
      </c>
      <c r="E86" t="str">
        <f>VLOOKUP($A86,'По порядку'!$A$2:$E$414,4,FALSE)</f>
        <v>tatpuruṣa</v>
      </c>
      <c r="F86" t="str">
        <f>VLOOKUP($A86,'По порядку'!$A$2:$E$414,5,FALSE)</f>
        <v>3.21</v>
      </c>
    </row>
    <row r="87" spans="1:7">
      <c r="A87" s="3">
        <v>149</v>
      </c>
      <c r="B87" s="3">
        <v>86</v>
      </c>
      <c r="C87" t="s">
        <v>133</v>
      </c>
      <c r="D87" t="str">
        <f>VLOOKUP($A87,'По порядку'!$A$2:$E$414,3,FALSE)</f>
        <v>ṣaṣṭhī-</v>
      </c>
      <c r="E87" t="str">
        <f>VLOOKUP($A87,'По порядку'!$A$2:$E$414,4,FALSE)</f>
        <v>tatpuruṣa</v>
      </c>
      <c r="F87" t="str">
        <f>VLOOKUP($A87,'По порядку'!$A$2:$E$414,5,FALSE)</f>
        <v>3.9</v>
      </c>
    </row>
    <row r="88" spans="1:7">
      <c r="A88" s="3">
        <v>334</v>
      </c>
      <c r="B88" s="3">
        <v>87</v>
      </c>
      <c r="C88" t="s">
        <v>279</v>
      </c>
      <c r="D88" t="str">
        <f>VLOOKUP($A88,'По порядку'!$A$2:$E$414,3,FALSE)</f>
        <v>dvitīyā-</v>
      </c>
      <c r="E88" t="str">
        <f>VLOOKUP($A88,'По порядку'!$A$2:$E$414,4,FALSE)</f>
        <v>tatpuruṣa</v>
      </c>
      <c r="F88" t="str">
        <f>VLOOKUP($A88,'По порядку'!$A$2:$E$414,5,FALSE)</f>
        <v>6.41</v>
      </c>
    </row>
    <row r="89" spans="1:7">
      <c r="A89" s="3">
        <v>56</v>
      </c>
      <c r="B89" s="3">
        <v>88</v>
      </c>
      <c r="C89" t="s">
        <v>50</v>
      </c>
      <c r="D89" t="str">
        <f>VLOOKUP($A89,'По порядку'!$A$2:$E$414,3,FALSE)</f>
        <v>ṣaṣṭhī-</v>
      </c>
      <c r="E89" t="str">
        <f>VLOOKUP($A89,'По порядку'!$A$2:$E$414,4,FALSE)</f>
        <v>tatpuruṣa</v>
      </c>
      <c r="F89" t="str">
        <f>VLOOKUP($A89,'По порядку'!$A$2:$E$414,5,FALSE)</f>
        <v>1.27</v>
      </c>
    </row>
    <row r="90" spans="1:7">
      <c r="A90" s="3">
        <v>55</v>
      </c>
      <c r="B90" s="3">
        <v>89</v>
      </c>
      <c r="C90" t="s">
        <v>49</v>
      </c>
      <c r="D90" t="str">
        <f>VLOOKUP($A90,'По порядку'!$A$2:$E$414,3,FALSE)</f>
        <v>samānādhikaraṇa-</v>
      </c>
      <c r="E90" t="str">
        <f>VLOOKUP($A90,'По порядку'!$A$2:$E$414,4,FALSE)</f>
        <v>bahuvrīhi</v>
      </c>
      <c r="F90" t="str">
        <f>VLOOKUP($A90,'По порядку'!$A$2:$E$414,5,FALSE)</f>
        <v>1.27</v>
      </c>
    </row>
    <row r="91" spans="1:7">
      <c r="A91" s="3">
        <v>179</v>
      </c>
      <c r="B91" s="3">
        <v>90</v>
      </c>
      <c r="C91" t="s">
        <v>158</v>
      </c>
      <c r="D91" t="str">
        <f>VLOOKUP($A91,'По порядку'!$A$2:$E$414,3,FALSE)</f>
        <v>ṣaṣṭhī-</v>
      </c>
      <c r="E91" t="str">
        <f>VLOOKUP($A91,'По порядку'!$A$2:$E$414,4,FALSE)</f>
        <v>tatpuruṣa</v>
      </c>
      <c r="F91" t="str">
        <f>VLOOKUP($A91,'По порядку'!$A$2:$E$414,5,FALSE)</f>
        <v>3.24</v>
      </c>
    </row>
    <row r="92" spans="1:7">
      <c r="A92" s="3">
        <v>230</v>
      </c>
      <c r="B92" s="3">
        <v>91</v>
      </c>
      <c r="C92" t="s">
        <v>196</v>
      </c>
      <c r="D92" t="str">
        <f>VLOOKUP($A92,'По порядку'!$A$2:$E$414,3,FALSE)</f>
        <v>ṣaṣṭhī-</v>
      </c>
      <c r="E92" t="str">
        <f>VLOOKUP($A92,'По порядку'!$A$2:$E$414,4,FALSE)</f>
        <v>tatpuruṣa</v>
      </c>
      <c r="F92" t="str">
        <f>VLOOKUP($A92,'По порядку'!$A$2:$E$414,5,FALSE)</f>
        <v>4.20</v>
      </c>
    </row>
    <row r="93" spans="1:7">
      <c r="A93" s="3">
        <v>127</v>
      </c>
      <c r="B93" s="3">
        <v>92</v>
      </c>
      <c r="C93" t="s">
        <v>111</v>
      </c>
      <c r="D93" t="str">
        <f>VLOOKUP($A93,'По порядку'!$A$2:$E$414,3,FALSE)</f>
        <v>ṣaṣṭhī-</v>
      </c>
      <c r="E93" t="str">
        <f>VLOOKUP($A93,'По порядку'!$A$2:$E$414,4,FALSE)</f>
        <v>tatpuruṣa</v>
      </c>
      <c r="F93" t="str">
        <f>VLOOKUP($A93,'По порядку'!$A$2:$E$414,5,FALSE)</f>
        <v>2.19</v>
      </c>
    </row>
    <row r="94" spans="1:7">
      <c r="A94" s="3">
        <v>241</v>
      </c>
      <c r="B94" s="3">
        <v>93</v>
      </c>
      <c r="C94" t="s">
        <v>204</v>
      </c>
      <c r="D94" t="str">
        <f>VLOOKUP($A94,'По порядку'!$A$2:$E$414,3,FALSE)</f>
        <v>ṣaṣṭhī-</v>
      </c>
      <c r="E94" t="str">
        <f>VLOOKUP($A94,'По порядку'!$A$2:$E$414,4,FALSE)</f>
        <v>tatpuruṣa</v>
      </c>
      <c r="F94" t="str">
        <f>VLOOKUP($A94,'По порядку'!$A$2:$E$414,5,FALSE)</f>
        <v>5.5</v>
      </c>
    </row>
    <row r="95" spans="1:7">
      <c r="A95" s="3">
        <v>49</v>
      </c>
      <c r="B95" s="3">
        <v>94</v>
      </c>
      <c r="C95" t="s">
        <v>43</v>
      </c>
      <c r="D95" t="str">
        <f>VLOOKUP($A95,'По порядку'!$A$2:$E$414,3,FALSE)</f>
        <v xml:space="preserve">viśeṣaṇapūrvapadaḥ </v>
      </c>
      <c r="E95" t="str">
        <f>VLOOKUP($A95,'По порядку'!$A$2:$E$414,4,FALSE)</f>
        <v>karmadhāraya</v>
      </c>
      <c r="F95" t="str">
        <f>VLOOKUP($A95,'По порядку'!$A$2:$E$414,5,FALSE)</f>
        <v>1.25</v>
      </c>
    </row>
    <row r="96" spans="1:7">
      <c r="A96" s="3">
        <v>77</v>
      </c>
      <c r="B96" s="3">
        <v>95</v>
      </c>
      <c r="C96" t="s">
        <v>69</v>
      </c>
      <c r="D96" t="str">
        <f>VLOOKUP($A96,'По порядку'!$A$2:$E$414,3,FALSE)</f>
        <v>ṣaṣṭhī-</v>
      </c>
      <c r="E96" t="str">
        <f>VLOOKUP($A96,'По порядку'!$A$2:$E$414,4,FALSE)</f>
        <v>tatpuruṣa</v>
      </c>
      <c r="F96" t="str">
        <f>VLOOKUP($A96,'По порядку'!$A$2:$E$414,5,FALSE)</f>
        <v>1.37</v>
      </c>
    </row>
    <row r="97" spans="1:7">
      <c r="A97" s="3">
        <v>185</v>
      </c>
      <c r="B97" s="3">
        <v>96</v>
      </c>
      <c r="C97" t="s">
        <v>162</v>
      </c>
      <c r="D97" t="str">
        <f>VLOOKUP($A97,'По порядку'!$A$2:$E$414,3,FALSE)</f>
        <v>ṣaṣṭhī-</v>
      </c>
      <c r="E97" t="str">
        <f>VLOOKUP($A97,'По порядку'!$A$2:$E$414,4,FALSE)</f>
        <v>tatpuruṣa</v>
      </c>
      <c r="F97" t="str">
        <f>VLOOKUP($A97,'По порядку'!$A$2:$E$414,5,FALSE)</f>
        <v>3.26</v>
      </c>
    </row>
    <row r="98" spans="1:7">
      <c r="A98" s="3">
        <v>161</v>
      </c>
      <c r="B98" s="3">
        <v>97</v>
      </c>
      <c r="C98" t="s">
        <v>143</v>
      </c>
      <c r="D98" t="str">
        <f>VLOOKUP($A98,'По порядку'!$A$2:$E$414,3,FALSE)</f>
        <v>ṣaṣṭhī-</v>
      </c>
      <c r="E98" t="str">
        <f>VLOOKUP($A98,'По порядку'!$A$2:$E$414,4,FALSE)</f>
        <v>tatpuruṣa</v>
      </c>
      <c r="F98" t="str">
        <f>VLOOKUP($A98,'По порядку'!$A$2:$E$414,5,FALSE)</f>
        <v>3.17</v>
      </c>
    </row>
    <row r="99" spans="1:7">
      <c r="A99" s="3">
        <v>143</v>
      </c>
      <c r="B99" s="3">
        <v>98</v>
      </c>
      <c r="C99" t="s">
        <v>127</v>
      </c>
      <c r="D99" t="str">
        <f>VLOOKUP($A99,'По порядку'!$A$2:$E$414,3,FALSE)</f>
        <v>tṛtīyā-</v>
      </c>
      <c r="E99" t="str">
        <f>VLOOKUP($A99,'По порядку'!$A$2:$E$414,4,FALSE)</f>
        <v>tatpuruṣa</v>
      </c>
      <c r="F99" t="str">
        <f>VLOOKUP($A99,'По порядку'!$A$2:$E$414,5,FALSE)</f>
        <v>3.7</v>
      </c>
    </row>
    <row r="100" spans="1:7">
      <c r="A100" s="3">
        <v>23</v>
      </c>
      <c r="B100" s="3">
        <v>99</v>
      </c>
      <c r="C100" t="s">
        <v>21</v>
      </c>
      <c r="D100" t="str">
        <f>VLOOKUP($A100,'По порядку'!$A$2:$E$414,3,FALSE)</f>
        <v xml:space="preserve">upamānottarapadaḥ </v>
      </c>
      <c r="E100" t="str">
        <f>VLOOKUP($A100,'По порядку'!$A$2:$E$414,4,FALSE)</f>
        <v>karmadhāraya</v>
      </c>
      <c r="F100" t="str">
        <f>VLOOKUP($A100,'По порядку'!$A$2:$E$414,5,FALSE)</f>
        <v>1.11</v>
      </c>
    </row>
    <row r="101" spans="1:7">
      <c r="A101" s="3">
        <v>166</v>
      </c>
      <c r="B101" s="3">
        <v>100</v>
      </c>
      <c r="C101" t="s">
        <v>147</v>
      </c>
      <c r="D101" t="str">
        <f>VLOOKUP($A101,'По порядку'!$A$2:$E$414,3,FALSE)</f>
        <v xml:space="preserve">itaretara </v>
      </c>
      <c r="E101" t="str">
        <f>VLOOKUP($A101,'По порядку'!$A$2:$E$414,4,FALSE)</f>
        <v>dvandva</v>
      </c>
      <c r="F101" t="str">
        <f>VLOOKUP($A101,'По порядку'!$A$2:$E$414,5,FALSE)</f>
        <v>3.19</v>
      </c>
    </row>
    <row r="102" spans="1:7">
      <c r="A102" s="3">
        <v>137</v>
      </c>
      <c r="B102" s="3">
        <v>101</v>
      </c>
      <c r="C102" t="s">
        <v>121</v>
      </c>
      <c r="D102" t="str">
        <f>VLOOKUP($A102,'По порядку'!$A$2:$E$414,3,FALSE)</f>
        <v>ṣaṣṭhī-</v>
      </c>
      <c r="E102" t="str">
        <f>VLOOKUP($A102,'По порядку'!$A$2:$E$414,4,FALSE)</f>
        <v>tatpuruṣa</v>
      </c>
      <c r="F102" t="str">
        <f>VLOOKUP($A102,'По порядку'!$A$2:$E$414,5,FALSE)</f>
        <v>3.4</v>
      </c>
    </row>
    <row r="103" spans="1:7">
      <c r="A103" s="3">
        <v>128</v>
      </c>
      <c r="B103" s="3">
        <v>102</v>
      </c>
      <c r="C103" t="s">
        <v>112</v>
      </c>
      <c r="D103" t="str">
        <f>VLOOKUP($A103,'По порядку'!$A$2:$E$414,3,FALSE)</f>
        <v xml:space="preserve">viśeṣaṇapūrvapadaḥ </v>
      </c>
      <c r="E103" t="str">
        <f>VLOOKUP($A103,'По порядку'!$A$2:$E$414,4,FALSE)</f>
        <v>karmadhāraya</v>
      </c>
      <c r="F103" t="str">
        <f>VLOOKUP($A103,'По порядку'!$A$2:$E$414,5,FALSE)</f>
        <v>2.20</v>
      </c>
    </row>
    <row r="104" spans="1:7">
      <c r="A104" s="3">
        <v>261</v>
      </c>
      <c r="B104" s="3">
        <v>103</v>
      </c>
      <c r="C104" t="s">
        <v>219</v>
      </c>
      <c r="D104" t="str">
        <f>VLOOKUP($A104,'По порядку'!$A$2:$E$414,3,FALSE)</f>
        <v xml:space="preserve">samānādhikaraṇa </v>
      </c>
      <c r="E104" t="str">
        <f>VLOOKUP($A104,'По порядку'!$A$2:$E$414,4,FALSE)</f>
        <v>bahuvrīhi</v>
      </c>
      <c r="F104" t="str">
        <f>VLOOKUP($A104,'По порядку'!$A$2:$E$414,5,FALSE)</f>
        <v>6.3</v>
      </c>
    </row>
    <row r="105" spans="1:7">
      <c r="A105" s="3">
        <v>32</v>
      </c>
      <c r="B105" s="3">
        <v>104</v>
      </c>
      <c r="C105" t="s">
        <v>29</v>
      </c>
      <c r="D105" t="str">
        <f>VLOOKUP($A105,'По порядку'!$A$2:$E$414,3,FALSE)</f>
        <v>samānādhikaraṇa-</v>
      </c>
      <c r="E105" t="str">
        <f>VLOOKUP($A105,'По порядку'!$A$2:$E$414,4,FALSE)</f>
        <v>bahuvrīhi</v>
      </c>
      <c r="F105" t="str">
        <f>VLOOKUP($A105,'По порядку'!$A$2:$E$414,5,FALSE)</f>
        <v>1.16</v>
      </c>
    </row>
    <row r="106" spans="1:7">
      <c r="A106" s="3">
        <v>317</v>
      </c>
      <c r="B106" s="3">
        <v>105</v>
      </c>
      <c r="C106" t="s">
        <v>263</v>
      </c>
      <c r="D106" t="str">
        <f>VLOOKUP($A106,'По порядку'!$A$2:$E$414,3,FALSE)</f>
        <v xml:space="preserve">samānādhikaraṇa </v>
      </c>
      <c r="E106" t="str">
        <f>VLOOKUP($A106,'По порядку'!$A$2:$E$414,4,FALSE)</f>
        <v>bahuvrīhi</v>
      </c>
      <c r="F106" t="str">
        <f>VLOOKUP($A106,'По порядку'!$A$2:$E$414,5,FALSE)</f>
        <v>6.30</v>
      </c>
    </row>
    <row r="107" spans="1:7">
      <c r="A107" s="3">
        <v>33</v>
      </c>
      <c r="B107" s="3">
        <v>106</v>
      </c>
      <c r="C107" t="s">
        <v>16</v>
      </c>
      <c r="D107" t="str">
        <f>VLOOKUP($A107,'По порядку'!$A$2:$E$414,3,FALSE)</f>
        <v>samānādhikaraṇa-</v>
      </c>
      <c r="E107" t="str">
        <f>VLOOKUP($A107,'По порядку'!$A$2:$E$414,4,FALSE)</f>
        <v>bahuvrīhi</v>
      </c>
      <c r="F107" t="str">
        <f>VLOOKUP($A107,'По порядку'!$A$2:$E$414,5,FALSE)</f>
        <v>1.16</v>
      </c>
    </row>
    <row r="108" spans="1:7">
      <c r="A108" s="3">
        <v>18</v>
      </c>
      <c r="B108" s="3">
        <v>107</v>
      </c>
      <c r="C108" t="s">
        <v>16</v>
      </c>
      <c r="D108" t="str">
        <f>VLOOKUP($A108,'По порядку'!$A$2:$E$414,3,FALSE)</f>
        <v>samānādhikaraṇa-</v>
      </c>
      <c r="E108" t="str">
        <f>VLOOKUP($A108,'По порядку'!$A$2:$E$414,4,FALSE)</f>
        <v>bahuvrīhi</v>
      </c>
      <c r="F108" t="str">
        <f>VLOOKUP($A108,'По порядку'!$A$2:$E$414,5,FALSE)</f>
        <v>1.7</v>
      </c>
      <c r="G108" t="b">
        <v>1</v>
      </c>
    </row>
    <row r="109" spans="1:7">
      <c r="A109" s="3">
        <v>316</v>
      </c>
      <c r="B109" s="3">
        <v>108</v>
      </c>
      <c r="C109" t="s">
        <v>262</v>
      </c>
      <c r="D109" t="str">
        <f>VLOOKUP($A109,'По порядку'!$A$2:$E$414,3,FALSE)</f>
        <v>ṣaṣṭhī-</v>
      </c>
      <c r="E109" t="str">
        <f>VLOOKUP($A109,'По порядку'!$A$2:$E$414,4,FALSE)</f>
        <v>tatpuruṣa</v>
      </c>
      <c r="F109" t="str">
        <f>VLOOKUP($A109,'По порядку'!$A$2:$E$414,5,FALSE)</f>
        <v>6.30</v>
      </c>
    </row>
    <row r="110" spans="1:7">
      <c r="A110" s="3">
        <v>27</v>
      </c>
      <c r="B110" s="3">
        <v>109</v>
      </c>
      <c r="C110" t="s">
        <v>25</v>
      </c>
      <c r="D110" t="str">
        <f>VLOOKUP($A110,'По порядку'!$A$2:$E$414,3,FALSE)</f>
        <v>samānādhikaraṇa-</v>
      </c>
      <c r="E110" t="str">
        <f>VLOOKUP($A110,'По порядку'!$A$2:$E$414,4,FALSE)</f>
        <v>bahuvrīhi</v>
      </c>
      <c r="F110" t="str">
        <f>VLOOKUP($A110,'По порядку'!$A$2:$E$414,5,FALSE)</f>
        <v>1.15</v>
      </c>
    </row>
    <row r="111" spans="1:7">
      <c r="A111" s="3">
        <v>133</v>
      </c>
      <c r="B111" s="3">
        <v>110</v>
      </c>
      <c r="C111" t="s">
        <v>117</v>
      </c>
      <c r="D111" t="str">
        <f>VLOOKUP($A111,'По порядку'!$A$2:$E$414,3,FALSE)</f>
        <v>itaretara-</v>
      </c>
      <c r="E111" t="str">
        <f>VLOOKUP($A111,'По порядку'!$A$2:$E$414,4,FALSE)</f>
        <v>dvandva</v>
      </c>
      <c r="F111" t="str">
        <f>VLOOKUP($A111,'По порядку'!$A$2:$E$414,5,FALSE)</f>
        <v>3.1</v>
      </c>
    </row>
    <row r="112" spans="1:7">
      <c r="A112" s="3">
        <v>31</v>
      </c>
      <c r="B112" s="3">
        <v>111</v>
      </c>
      <c r="C112" t="s">
        <v>28</v>
      </c>
      <c r="D112" t="str">
        <f>VLOOKUP($A112,'По порядку'!$A$2:$E$414,3,FALSE)</f>
        <v>samānādhikaraṇa-</v>
      </c>
      <c r="E112" t="str">
        <f>VLOOKUP($A112,'По порядку'!$A$2:$E$414,4,FALSE)</f>
        <v>bahuvrīhi</v>
      </c>
      <c r="F112" t="str">
        <f>VLOOKUP($A112,'По порядку'!$A$2:$E$414,5,FALSE)</f>
        <v>1.16</v>
      </c>
    </row>
    <row r="113" spans="1:7">
      <c r="A113" s="3">
        <v>362</v>
      </c>
      <c r="B113" s="3">
        <v>112</v>
      </c>
      <c r="C113" t="s">
        <v>28</v>
      </c>
      <c r="D113" t="str">
        <f>VLOOKUP($A113,'По порядку'!$A$2:$E$414,3,FALSE)</f>
        <v xml:space="preserve">samānādhikaraṇa </v>
      </c>
      <c r="E113" t="str">
        <f>VLOOKUP($A113,'По порядку'!$A$2:$E$414,4,FALSE)</f>
        <v>bahuvrīhi</v>
      </c>
      <c r="F113" t="str">
        <f>VLOOKUP($A113,'По порядку'!$A$2:$E$414,5,FALSE)</f>
        <v>6.54</v>
      </c>
      <c r="G113" t="b">
        <v>1</v>
      </c>
    </row>
    <row r="114" spans="1:7">
      <c r="A114" s="3">
        <v>413</v>
      </c>
      <c r="B114" s="3">
        <v>113</v>
      </c>
      <c r="C114" t="s">
        <v>28</v>
      </c>
      <c r="D114" t="str">
        <f>VLOOKUP($A114,'По порядку'!$A$2:$E$414,3,FALSE)</f>
        <v xml:space="preserve">samānādhikaraṇa </v>
      </c>
      <c r="E114" t="str">
        <f>VLOOKUP($A114,'По порядку'!$A$2:$E$414,4,FALSE)</f>
        <v>bahuvrīhi</v>
      </c>
      <c r="F114" t="str">
        <f>VLOOKUP($A114,'По порядку'!$A$2:$E$414,5,FALSE)</f>
        <v>7.9</v>
      </c>
      <c r="G114" t="b">
        <v>1</v>
      </c>
    </row>
    <row r="115" spans="1:7">
      <c r="A115" s="3">
        <v>186</v>
      </c>
      <c r="B115" s="3">
        <v>114</v>
      </c>
      <c r="C115" t="s">
        <v>163</v>
      </c>
      <c r="D115" t="str">
        <f>VLOOKUP($A115,'По порядку'!$A$2:$E$414,3,FALSE)</f>
        <v>samānādhikaraṇa-</v>
      </c>
      <c r="E115" t="str">
        <f>VLOOKUP($A115,'По порядку'!$A$2:$E$414,4,FALSE)</f>
        <v>bahuvrīhi</v>
      </c>
      <c r="F115" t="str">
        <f>VLOOKUP($A115,'По порядку'!$A$2:$E$414,5,FALSE)</f>
        <v>3.27</v>
      </c>
    </row>
    <row r="116" spans="1:7">
      <c r="A116" s="3">
        <v>124</v>
      </c>
      <c r="B116" s="3">
        <v>115</v>
      </c>
      <c r="C116" t="s">
        <v>108</v>
      </c>
      <c r="D116" t="str">
        <f>VLOOKUP($A116,'По порядку'!$A$2:$E$414,3,FALSE)</f>
        <v>samānādhikaraṇa-</v>
      </c>
      <c r="E116" t="str">
        <f>VLOOKUP($A116,'По порядку'!$A$2:$E$414,4,FALSE)</f>
        <v>bahuvrīhi</v>
      </c>
      <c r="F116" t="str">
        <f>VLOOKUP($A116,'По порядку'!$A$2:$E$414,5,FALSE)</f>
        <v>2.18</v>
      </c>
    </row>
    <row r="117" spans="1:7">
      <c r="A117" s="3">
        <v>391</v>
      </c>
      <c r="B117" s="3">
        <v>116</v>
      </c>
      <c r="C117" t="s">
        <v>329</v>
      </c>
      <c r="D117" t="str">
        <f>VLOOKUP($A117,'По порядку'!$A$2:$E$414,3,FALSE)</f>
        <v xml:space="preserve">viśeṣaṇapūrvapadaḥ </v>
      </c>
      <c r="E117" t="str">
        <f>VLOOKUP($A117,'По порядку'!$A$2:$E$414,4,FALSE)</f>
        <v>karmadhāraya</v>
      </c>
      <c r="F117" t="str">
        <f>VLOOKUP($A117,'По порядку'!$A$2:$E$414,5,FALSE)</f>
        <v>6.65</v>
      </c>
    </row>
    <row r="118" spans="1:7">
      <c r="A118" s="3">
        <v>111</v>
      </c>
      <c r="B118" s="3">
        <v>117</v>
      </c>
      <c r="C118" t="s">
        <v>95</v>
      </c>
      <c r="D118" t="str">
        <f>VLOOKUP($A118,'По порядку'!$A$2:$E$414,3,FALSE)</f>
        <v>pañcamī-</v>
      </c>
      <c r="E118" t="str">
        <f>VLOOKUP($A118,'По порядку'!$A$2:$E$414,4,FALSE)</f>
        <v>tatpuruṣa</v>
      </c>
      <c r="F118" t="str">
        <f>VLOOKUP($A118,'По порядку'!$A$2:$E$414,5,FALSE)</f>
        <v>2.12</v>
      </c>
    </row>
    <row r="119" spans="1:7">
      <c r="A119" s="3">
        <v>110</v>
      </c>
      <c r="B119" s="3">
        <v>118</v>
      </c>
      <c r="C119" t="s">
        <v>94</v>
      </c>
      <c r="D119" t="str">
        <f>VLOOKUP($A119,'По порядку'!$A$2:$E$414,3,FALSE)</f>
        <v>samānādhikaraṇa-</v>
      </c>
      <c r="E119" t="str">
        <f>VLOOKUP($A119,'По порядку'!$A$2:$E$414,4,FALSE)</f>
        <v>bahuvrīhi</v>
      </c>
      <c r="F119" t="str">
        <f>VLOOKUP($A119,'По порядку'!$A$2:$E$414,5,FALSE)</f>
        <v>2.12</v>
      </c>
    </row>
    <row r="120" spans="1:7">
      <c r="A120" s="3">
        <v>174</v>
      </c>
      <c r="B120" s="3">
        <v>119</v>
      </c>
      <c r="C120" t="s">
        <v>155</v>
      </c>
      <c r="D120" t="str">
        <f>VLOOKUP($A120,'По порядку'!$A$2:$E$414,3,FALSE)</f>
        <v>tṛtīyā-</v>
      </c>
      <c r="E120" t="str">
        <f>VLOOKUP($A120,'По порядку'!$A$2:$E$414,4,FALSE)</f>
        <v>tatpuruṣa</v>
      </c>
      <c r="F120" t="str">
        <f>VLOOKUP($A120,'По порядку'!$A$2:$E$414,5,FALSE)</f>
        <v>3.22</v>
      </c>
    </row>
    <row r="121" spans="1:7">
      <c r="A121" s="3">
        <v>24</v>
      </c>
      <c r="B121" s="3">
        <v>120</v>
      </c>
      <c r="C121" t="s">
        <v>22</v>
      </c>
      <c r="D121" t="str">
        <f>VLOOKUP($A121,'По порядку'!$A$2:$E$414,3,FALSE)</f>
        <v>ṣaṣṭhī-</v>
      </c>
      <c r="E121" t="str">
        <f>VLOOKUP($A121,'По порядку'!$A$2:$E$414,4,FALSE)</f>
        <v>tatpuruṣa</v>
      </c>
      <c r="F121" t="str">
        <f>VLOOKUP($A121,'По порядку'!$A$2:$E$414,5,FALSE)</f>
        <v>1.13</v>
      </c>
    </row>
    <row r="122" spans="1:7">
      <c r="A122" s="3">
        <v>304</v>
      </c>
      <c r="B122" s="3">
        <v>121</v>
      </c>
      <c r="C122" t="s">
        <v>251</v>
      </c>
      <c r="D122" t="str">
        <f>VLOOKUP($A122,'По порядку'!$A$2:$E$414,3,FALSE)</f>
        <v>prādi-</v>
      </c>
      <c r="E122" t="str">
        <f>VLOOKUP($A122,'По порядку'!$A$2:$E$414,4,FALSE)</f>
        <v>tatpuruṣa</v>
      </c>
      <c r="F122" t="str">
        <f>VLOOKUP($A122,'По порядку'!$A$2:$E$414,5,FALSE)</f>
        <v>6.25</v>
      </c>
    </row>
    <row r="123" spans="1:7">
      <c r="A123" s="3">
        <v>151</v>
      </c>
      <c r="B123" s="3">
        <v>122</v>
      </c>
      <c r="C123" t="s">
        <v>135</v>
      </c>
      <c r="D123" t="str">
        <f>VLOOKUP($A123,'По порядку'!$A$2:$E$414,3,FALSE)</f>
        <v>itaretara-</v>
      </c>
      <c r="E123" t="str">
        <f>VLOOKUP($A123,'По порядку'!$A$2:$E$414,4,FALSE)</f>
        <v>dvandva</v>
      </c>
      <c r="F123" t="str">
        <f>VLOOKUP($A123,'По порядку'!$A$2:$E$414,5,FALSE)</f>
        <v>3.10</v>
      </c>
    </row>
    <row r="124" spans="1:7">
      <c r="A124" s="3">
        <v>150</v>
      </c>
      <c r="B124" s="3">
        <v>123</v>
      </c>
      <c r="C124" t="s">
        <v>134</v>
      </c>
      <c r="D124" t="str">
        <f>VLOOKUP($A124,'По порядку'!$A$2:$E$414,3,FALSE)</f>
        <v>samānādhikaraṇa-</v>
      </c>
      <c r="E124" t="str">
        <f>VLOOKUP($A124,'По порядку'!$A$2:$E$414,4,FALSE)</f>
        <v>bahuvrīhi</v>
      </c>
      <c r="F124" t="str">
        <f>VLOOKUP($A124,'По порядку'!$A$2:$E$414,5,FALSE)</f>
        <v>3.10</v>
      </c>
    </row>
    <row r="125" spans="1:7">
      <c r="A125" s="3">
        <v>30</v>
      </c>
      <c r="B125" s="3">
        <v>124</v>
      </c>
      <c r="C125" t="s">
        <v>24</v>
      </c>
      <c r="D125" t="str">
        <f>VLOOKUP($A125,'По порядку'!$A$2:$E$414,3,FALSE)</f>
        <v>ṣaṣṭhī-</v>
      </c>
      <c r="E125" t="str">
        <f>VLOOKUP($A125,'По порядку'!$A$2:$E$414,4,FALSE)</f>
        <v>tatpuruṣa</v>
      </c>
      <c r="F125" t="str">
        <f>VLOOKUP($A125,'По порядку'!$A$2:$E$414,5,FALSE)</f>
        <v>1.16</v>
      </c>
    </row>
    <row r="126" spans="1:7">
      <c r="A126" s="3">
        <v>26</v>
      </c>
      <c r="B126" s="3">
        <v>125</v>
      </c>
      <c r="C126" t="s">
        <v>24</v>
      </c>
      <c r="D126" t="str">
        <f>VLOOKUP($A126,'По порядку'!$A$2:$E$414,3,FALSE)</f>
        <v>ṣaṣṭhī-</v>
      </c>
      <c r="E126" t="str">
        <f>VLOOKUP($A126,'По порядку'!$A$2:$E$414,4,FALSE)</f>
        <v>tatpuruṣa</v>
      </c>
      <c r="F126" t="str">
        <f>VLOOKUP($A126,'По порядку'!$A$2:$E$414,5,FALSE)</f>
        <v>1.14</v>
      </c>
      <c r="G126" t="b">
        <v>1</v>
      </c>
    </row>
    <row r="127" spans="1:7">
      <c r="A127" s="3">
        <v>339</v>
      </c>
      <c r="B127" s="3">
        <v>126</v>
      </c>
      <c r="C127" t="s">
        <v>282</v>
      </c>
      <c r="D127" t="str">
        <f>VLOOKUP($A127,'По порядку'!$A$2:$E$414,3,FALSE)</f>
        <v>ṣaṣṭhī-</v>
      </c>
      <c r="E127" t="str">
        <f>VLOOKUP($A127,'По порядку'!$A$2:$E$414,4,FALSE)</f>
        <v>tatpuruṣa</v>
      </c>
      <c r="F127" t="str">
        <f>VLOOKUP($A127,'По порядку'!$A$2:$E$414,5,FALSE)</f>
        <v>6.44</v>
      </c>
    </row>
    <row r="128" spans="1:7">
      <c r="A128" s="3">
        <v>348</v>
      </c>
      <c r="B128" s="3">
        <v>127</v>
      </c>
      <c r="C128" t="s">
        <v>291</v>
      </c>
      <c r="D128" t="str">
        <f>VLOOKUP($A128,'По порядку'!$A$2:$E$414,3,FALSE)</f>
        <v>ṣaṣṭhī-</v>
      </c>
      <c r="E128" t="str">
        <f>VLOOKUP($A128,'По порядку'!$A$2:$E$414,4,FALSE)</f>
        <v>tatpuruṣa</v>
      </c>
      <c r="F128" t="str">
        <f>VLOOKUP($A128,'По порядку'!$A$2:$E$414,5,FALSE)</f>
        <v>6.48</v>
      </c>
    </row>
    <row r="129" spans="1:7">
      <c r="A129" s="3">
        <v>353</v>
      </c>
      <c r="B129" s="3">
        <v>128</v>
      </c>
      <c r="C129" t="s">
        <v>295</v>
      </c>
      <c r="D129" t="str">
        <f>VLOOKUP($A129,'По порядку'!$A$2:$E$414,3,FALSE)</f>
        <v>ṣaṣṭhī-</v>
      </c>
      <c r="E129" t="str">
        <f>VLOOKUP($A129,'По порядку'!$A$2:$E$414,4,FALSE)</f>
        <v>tatpuruṣa</v>
      </c>
      <c r="F129" t="str">
        <f>VLOOKUP($A129,'По порядку'!$A$2:$E$414,5,FALSE)</f>
        <v>6.50</v>
      </c>
    </row>
    <row r="130" spans="1:7">
      <c r="A130" s="3">
        <v>280</v>
      </c>
      <c r="B130" s="3">
        <v>129</v>
      </c>
      <c r="C130" t="s">
        <v>236</v>
      </c>
      <c r="D130" t="str">
        <f>VLOOKUP($A130,'По порядку'!$A$2:$E$414,3,FALSE)</f>
        <v xml:space="preserve">itaretara </v>
      </c>
      <c r="E130" t="str">
        <f>VLOOKUP($A130,'По порядку'!$A$2:$E$414,4,FALSE)</f>
        <v>dvandva</v>
      </c>
      <c r="F130" t="str">
        <f>VLOOKUP($A130,'По порядку'!$A$2:$E$414,5,FALSE)</f>
        <v>6.10</v>
      </c>
    </row>
    <row r="131" spans="1:7">
      <c r="A131" s="3">
        <v>21</v>
      </c>
      <c r="B131" s="3">
        <v>130</v>
      </c>
      <c r="C131" t="s">
        <v>19</v>
      </c>
      <c r="D131" t="str">
        <f>VLOOKUP($A131,'По порядку'!$A$2:$E$414,3,FALSE)</f>
        <v>upapada-</v>
      </c>
      <c r="E131" t="str">
        <f>VLOOKUP($A131,'По порядку'!$A$2:$E$414,4,FALSE)</f>
        <v>tatpuruṣa</v>
      </c>
      <c r="F131" t="str">
        <f>VLOOKUP($A131,'По порядку'!$A$2:$E$414,5,FALSE)</f>
        <v>1.10</v>
      </c>
    </row>
    <row r="132" spans="1:7">
      <c r="A132" s="3">
        <v>57</v>
      </c>
      <c r="B132" s="3">
        <v>131</v>
      </c>
      <c r="C132" t="s">
        <v>51</v>
      </c>
      <c r="D132" t="str">
        <f>VLOOKUP($A132,'По порядку'!$A$2:$E$414,3,FALSE)</f>
        <v>upapada-</v>
      </c>
      <c r="E132" t="str">
        <f>VLOOKUP($A132,'По порядку'!$A$2:$E$414,4,FALSE)</f>
        <v>tatpuruṣa</v>
      </c>
      <c r="F132" t="str">
        <f>VLOOKUP($A132,'По порядку'!$A$2:$E$414,5,FALSE)</f>
        <v>1.27</v>
      </c>
    </row>
    <row r="133" spans="1:7">
      <c r="A133" s="3">
        <v>123</v>
      </c>
      <c r="B133" s="3">
        <v>132</v>
      </c>
      <c r="C133" t="s">
        <v>51</v>
      </c>
      <c r="D133" t="str">
        <f>VLOOKUP($A133,'По порядку'!$A$2:$E$414,3,FALSE)</f>
        <v>upapada-</v>
      </c>
      <c r="E133" t="str">
        <f>VLOOKUP($A133,'По порядку'!$A$2:$E$414,4,FALSE)</f>
        <v>tatpuruṣa</v>
      </c>
      <c r="F133" t="str">
        <f>VLOOKUP($A133,'По порядку'!$A$2:$E$414,5,FALSE)</f>
        <v>2.16</v>
      </c>
      <c r="G133" t="b">
        <v>1</v>
      </c>
    </row>
    <row r="134" spans="1:7">
      <c r="A134" s="3">
        <v>15</v>
      </c>
      <c r="B134" s="3">
        <v>133</v>
      </c>
      <c r="C134" t="s">
        <v>13</v>
      </c>
      <c r="D134" t="str">
        <f>VLOOKUP($A134,'По порядку'!$A$2:$E$414,3,FALSE)</f>
        <v>ṣaṣṭhī-</v>
      </c>
      <c r="E134" t="str">
        <f>VLOOKUP($A134,'По порядку'!$A$2:$E$414,4,FALSE)</f>
        <v>tatpuruṣa</v>
      </c>
      <c r="F134" t="str">
        <f>VLOOKUP($A134,'По порядку'!$A$2:$E$414,5,FALSE)</f>
        <v>1.6</v>
      </c>
    </row>
    <row r="135" spans="1:7">
      <c r="A135" s="3">
        <v>83</v>
      </c>
      <c r="B135" s="3">
        <v>134</v>
      </c>
      <c r="C135" t="s">
        <v>72</v>
      </c>
      <c r="D135" t="str">
        <f>VLOOKUP($A135,'По порядку'!$A$2:$E$414,3,FALSE)</f>
        <v>ṣaṣṭhī-</v>
      </c>
      <c r="E135" t="str">
        <f>VLOOKUP($A135,'По порядку'!$A$2:$E$414,4,FALSE)</f>
        <v>tatpuruṣa</v>
      </c>
      <c r="F135" t="str">
        <f>VLOOKUP($A135,'По порядку'!$A$2:$E$414,5,FALSE)</f>
        <v>1.39</v>
      </c>
    </row>
    <row r="136" spans="1:7">
      <c r="A136" s="3">
        <v>342</v>
      </c>
      <c r="B136" s="3">
        <v>135</v>
      </c>
      <c r="C136" t="s">
        <v>285</v>
      </c>
      <c r="D136" t="str">
        <f>VLOOKUP($A136,'По порядку'!$A$2:$E$414,3,FALSE)</f>
        <v>upapada-</v>
      </c>
      <c r="E136" t="str">
        <f>VLOOKUP($A136,'По порядку'!$A$2:$E$414,4,FALSE)</f>
        <v>tatpuruṣa</v>
      </c>
      <c r="F136" t="str">
        <f>VLOOKUP($A136,'По порядку'!$A$2:$E$414,5,FALSE)</f>
        <v>6.44</v>
      </c>
    </row>
    <row r="137" spans="1:7">
      <c r="A137" s="3">
        <v>314</v>
      </c>
      <c r="B137" s="3">
        <v>136</v>
      </c>
      <c r="C137" t="s">
        <v>260</v>
      </c>
      <c r="D137" t="str">
        <f>VLOOKUP($A137,'По порядку'!$A$2:$E$414,3,FALSE)</f>
        <v xml:space="preserve">samānādhikaraṇa </v>
      </c>
      <c r="E137" t="str">
        <f>VLOOKUP($A137,'По порядку'!$A$2:$E$414,4,FALSE)</f>
        <v>bahuvrīhi</v>
      </c>
      <c r="F137" t="str">
        <f>VLOOKUP($A137,'По порядку'!$A$2:$E$414,5,FALSE)</f>
        <v>6.29</v>
      </c>
    </row>
    <row r="138" spans="1:7">
      <c r="A138" s="3">
        <v>354</v>
      </c>
      <c r="B138" s="3">
        <v>137</v>
      </c>
      <c r="C138" t="s">
        <v>260</v>
      </c>
      <c r="D138" t="str">
        <f>VLOOKUP($A138,'По порядку'!$A$2:$E$414,3,FALSE)</f>
        <v xml:space="preserve">samānādhikaraṇa </v>
      </c>
      <c r="E138" t="str">
        <f>VLOOKUP($A138,'По порядку'!$A$2:$E$414,4,FALSE)</f>
        <v>bahuvrīhi</v>
      </c>
      <c r="F138" t="str">
        <f>VLOOKUP($A138,'По порядку'!$A$2:$E$414,5,FALSE)</f>
        <v>6.51</v>
      </c>
      <c r="G138" t="b">
        <v>1</v>
      </c>
    </row>
    <row r="139" spans="1:7">
      <c r="A139" s="3">
        <v>338</v>
      </c>
      <c r="B139" s="3">
        <v>138</v>
      </c>
      <c r="C139" t="s">
        <v>260</v>
      </c>
      <c r="D139" t="str">
        <f>VLOOKUP($A139,'По порядку'!$A$2:$E$414,3,FALSE)</f>
        <v xml:space="preserve">samānādhikaraṇa </v>
      </c>
      <c r="E139" t="str">
        <f>VLOOKUP($A139,'По порядку'!$A$2:$E$414,4,FALSE)</f>
        <v>bahuvrīhi</v>
      </c>
      <c r="F139" t="str">
        <f>VLOOKUP($A139,'По порядку'!$A$2:$E$414,5,FALSE)</f>
        <v>6.43</v>
      </c>
      <c r="G139" t="b">
        <v>1</v>
      </c>
    </row>
    <row r="140" spans="1:7">
      <c r="A140" s="3">
        <v>146</v>
      </c>
      <c r="B140" s="3">
        <v>139</v>
      </c>
      <c r="C140" t="s">
        <v>130</v>
      </c>
      <c r="D140" t="str">
        <f>VLOOKUP($A140,'По порядку'!$A$2:$E$414,3,FALSE)</f>
        <v xml:space="preserve">samānādhikaraṇa </v>
      </c>
      <c r="E140" t="str">
        <f>VLOOKUP($A140,'По порядку'!$A$2:$E$414,4,FALSE)</f>
        <v>bahuvrīhi</v>
      </c>
      <c r="F140" t="str">
        <f>VLOOKUP($A140,'По порядку'!$A$2:$E$414,5,FALSE)</f>
        <v>3.8</v>
      </c>
    </row>
    <row r="141" spans="1:7">
      <c r="A141" s="3">
        <v>329</v>
      </c>
      <c r="B141" s="3">
        <v>140</v>
      </c>
      <c r="C141" t="s">
        <v>275</v>
      </c>
      <c r="D141" t="str">
        <f>VLOOKUP($A141,'По порядку'!$A$2:$E$414,3,FALSE)</f>
        <v xml:space="preserve">samānādhikaraṇa </v>
      </c>
      <c r="E141" t="str">
        <f>VLOOKUP($A141,'По порядку'!$A$2:$E$414,4,FALSE)</f>
        <v>bahuvrīhi</v>
      </c>
      <c r="F141" t="str">
        <f>VLOOKUP($A141,'По порядку'!$A$2:$E$414,5,FALSE)</f>
        <v>6.38</v>
      </c>
    </row>
    <row r="142" spans="1:7">
      <c r="A142" s="3">
        <v>125</v>
      </c>
      <c r="B142" s="3">
        <v>141</v>
      </c>
      <c r="C142" t="s">
        <v>109</v>
      </c>
      <c r="D142" t="str">
        <f>VLOOKUP($A142,'По порядку'!$A$2:$E$414,3,FALSE)</f>
        <v>ṣaṣṭhī-</v>
      </c>
      <c r="E142" t="str">
        <f>VLOOKUP($A142,'По порядку'!$A$2:$E$414,4,FALSE)</f>
        <v>tatpuruṣa</v>
      </c>
      <c r="F142" t="str">
        <f>VLOOKUP($A142,'По порядку'!$A$2:$E$414,5,FALSE)</f>
        <v>2.18</v>
      </c>
    </row>
    <row r="143" spans="1:7">
      <c r="A143" s="3">
        <v>319</v>
      </c>
      <c r="B143" s="3">
        <v>142</v>
      </c>
      <c r="C143" t="s">
        <v>265</v>
      </c>
      <c r="D143" t="str">
        <f>VLOOKUP($A143,'По порядку'!$A$2:$E$414,3,FALSE)</f>
        <v xml:space="preserve">samānādhikaraṇa </v>
      </c>
      <c r="E143" t="str">
        <f>VLOOKUP($A143,'По порядку'!$A$2:$E$414,4,FALSE)</f>
        <v>bahuvrīhi</v>
      </c>
      <c r="F143" t="str">
        <f>VLOOKUP($A143,'По порядку'!$A$2:$E$414,5,FALSE)</f>
        <v>6.31</v>
      </c>
    </row>
    <row r="144" spans="1:7">
      <c r="A144" s="3">
        <v>274</v>
      </c>
      <c r="B144" s="3">
        <v>143</v>
      </c>
      <c r="C144" t="s">
        <v>230</v>
      </c>
      <c r="D144" t="str">
        <f>VLOOKUP($A144,'По порядку'!$A$2:$E$414,3,FALSE)</f>
        <v>ṣaṣṭhī-</v>
      </c>
      <c r="E144" t="str">
        <f>VLOOKUP($A144,'По порядку'!$A$2:$E$414,4,FALSE)</f>
        <v>tatpuruṣa</v>
      </c>
      <c r="F144" t="str">
        <f>VLOOKUP($A144,'По порядку'!$A$2:$E$414,5,FALSE)</f>
        <v>6.7</v>
      </c>
    </row>
    <row r="145" spans="1:7">
      <c r="A145" s="3">
        <v>275</v>
      </c>
      <c r="B145" s="3">
        <v>144</v>
      </c>
      <c r="C145" t="s">
        <v>231</v>
      </c>
      <c r="D145" t="str">
        <f>VLOOKUP($A145,'По порядку'!$A$2:$E$414,3,FALSE)</f>
        <v>ṣaṣṭhī-</v>
      </c>
      <c r="E145" t="str">
        <f>VLOOKUP($A145,'По порядку'!$A$2:$E$414,4,FALSE)</f>
        <v>tatpuruṣa</v>
      </c>
      <c r="F145" t="str">
        <f>VLOOKUP($A145,'По порядку'!$A$2:$E$414,5,FALSE)</f>
        <v>6.7</v>
      </c>
    </row>
    <row r="146" spans="1:7">
      <c r="A146" s="3">
        <v>167</v>
      </c>
      <c r="B146" s="3">
        <v>145</v>
      </c>
      <c r="C146" t="s">
        <v>148</v>
      </c>
      <c r="D146" t="str">
        <f>VLOOKUP($A146,'По порядку'!$A$2:$E$414,3,FALSE)</f>
        <v xml:space="preserve">viśeṣaṇapūrvapadaḥ </v>
      </c>
      <c r="E146" t="str">
        <f>VLOOKUP($A146,'По порядку'!$A$2:$E$414,4,FALSE)</f>
        <v>karmadhāraya</v>
      </c>
      <c r="F146" t="str">
        <f>VLOOKUP($A146,'По порядку'!$A$2:$E$414,5,FALSE)</f>
        <v>3.20</v>
      </c>
    </row>
    <row r="147" spans="1:7">
      <c r="A147" s="3">
        <v>403</v>
      </c>
      <c r="B147" s="3">
        <v>146</v>
      </c>
      <c r="C147" t="s">
        <v>341</v>
      </c>
      <c r="D147" t="str">
        <f>VLOOKUP($A147,'По порядку'!$A$2:$E$414,3,FALSE)</f>
        <v xml:space="preserve">viśeṣaṇapūrvapadaḥ </v>
      </c>
      <c r="E147" t="str">
        <f>VLOOKUP($A147,'По порядку'!$A$2:$E$414,4,FALSE)</f>
        <v>karmadhāraya</v>
      </c>
      <c r="F147" t="str">
        <f>VLOOKUP($A147,'По порядку'!$A$2:$E$414,5,FALSE)</f>
        <v>7.2</v>
      </c>
    </row>
    <row r="148" spans="1:7">
      <c r="A148" s="3">
        <v>11</v>
      </c>
      <c r="B148" s="3">
        <v>147</v>
      </c>
      <c r="C148" t="s">
        <v>10</v>
      </c>
      <c r="D148" t="str">
        <f>VLOOKUP($A148,'По порядку'!$A$2:$E$414,3,FALSE)</f>
        <v>dvitīyā-</v>
      </c>
      <c r="E148" t="str">
        <f>VLOOKUP($A148,'По порядку'!$A$2:$E$414,4,FALSE)</f>
        <v>tatpuruṣa</v>
      </c>
      <c r="F148" t="str">
        <f>VLOOKUP($A148,'По порядку'!$A$2:$E$414,5,FALSE)</f>
        <v>1.4</v>
      </c>
    </row>
    <row r="149" spans="1:7">
      <c r="A149" s="3">
        <v>278</v>
      </c>
      <c r="B149" s="3">
        <v>148</v>
      </c>
      <c r="C149" t="s">
        <v>234</v>
      </c>
      <c r="D149" t="str">
        <f>VLOOKUP($A149,'По порядку'!$A$2:$E$414,3,FALSE)</f>
        <v>upapada-</v>
      </c>
      <c r="E149" t="str">
        <f>VLOOKUP($A149,'По порядку'!$A$2:$E$414,4,FALSE)</f>
        <v>tatpuruṣa</v>
      </c>
      <c r="F149" t="str">
        <f>VLOOKUP($A149,'По порядку'!$A$2:$E$414,5,FALSE)</f>
        <v>6.9</v>
      </c>
    </row>
    <row r="150" spans="1:7">
      <c r="A150" s="3">
        <v>172</v>
      </c>
      <c r="B150" s="3">
        <v>149</v>
      </c>
      <c r="C150" t="s">
        <v>153</v>
      </c>
      <c r="D150" t="str">
        <f>VLOOKUP($A150,'По порядку'!$A$2:$E$414,3,FALSE)</f>
        <v>upapada-</v>
      </c>
      <c r="E150" t="str">
        <f>VLOOKUP($A150,'По порядку'!$A$2:$E$414,4,FALSE)</f>
        <v>tatpuruṣa</v>
      </c>
      <c r="F150" t="str">
        <f>VLOOKUP($A150,'По порядку'!$A$2:$E$414,5,FALSE)</f>
        <v>3.21</v>
      </c>
    </row>
    <row r="151" spans="1:7">
      <c r="A151" s="3">
        <v>264</v>
      </c>
      <c r="B151" s="3">
        <v>150</v>
      </c>
      <c r="C151" t="s">
        <v>222</v>
      </c>
      <c r="D151" t="str">
        <f>VLOOKUP($A151,'По порядку'!$A$2:$E$414,3,FALSE)</f>
        <v xml:space="preserve">samānādhikaraṇa </v>
      </c>
      <c r="E151" t="str">
        <f>VLOOKUP($A151,'По порядку'!$A$2:$E$414,4,FALSE)</f>
        <v>bahuvrīhi</v>
      </c>
      <c r="F151" t="str">
        <f>VLOOKUP($A151,'По порядку'!$A$2:$E$414,5,FALSE)</f>
        <v>6.4</v>
      </c>
    </row>
    <row r="152" spans="1:7">
      <c r="A152" s="3">
        <v>324</v>
      </c>
      <c r="B152" s="3">
        <v>151</v>
      </c>
      <c r="C152" t="s">
        <v>270</v>
      </c>
      <c r="D152" t="str">
        <f>VLOOKUP($A152,'По порядку'!$A$2:$E$414,3,FALSE)</f>
        <v>upapada-</v>
      </c>
      <c r="E152" t="str">
        <f>VLOOKUP($A152,'По порядку'!$A$2:$E$414,4,FALSE)</f>
        <v>tatpuruṣa</v>
      </c>
      <c r="F152" t="str">
        <f>VLOOKUP($A152,'По порядку'!$A$2:$E$414,5,FALSE)</f>
        <v>6.33</v>
      </c>
    </row>
    <row r="153" spans="1:7">
      <c r="A153" s="3">
        <v>41</v>
      </c>
      <c r="B153" s="3">
        <v>152</v>
      </c>
      <c r="C153" t="s">
        <v>36</v>
      </c>
      <c r="D153" t="str">
        <f>VLOOKUP($A153,'По порядку'!$A$2:$E$414,3,FALSE)</f>
        <v>upapada-</v>
      </c>
      <c r="E153" t="str">
        <f>VLOOKUP($A153,'По порядку'!$A$2:$E$414,4,FALSE)</f>
        <v>tatpuruṣa</v>
      </c>
      <c r="F153" t="str">
        <f>VLOOKUP($A153,'По порядку'!$A$2:$E$414,5,FALSE)</f>
        <v>1.20</v>
      </c>
    </row>
    <row r="154" spans="1:7">
      <c r="A154" s="3">
        <v>37</v>
      </c>
      <c r="B154" s="3">
        <v>153</v>
      </c>
      <c r="C154" t="s">
        <v>33</v>
      </c>
      <c r="D154" t="str">
        <f>VLOOKUP($A154,'По порядку'!$A$2:$E$414,3,FALSE)</f>
        <v>samānādhikaraṇa-</v>
      </c>
      <c r="E154" t="str">
        <f>VLOOKUP($A154,'По порядку'!$A$2:$E$414,4,FALSE)</f>
        <v>bahuvrīhi</v>
      </c>
      <c r="F154" t="str">
        <f>VLOOKUP($A154,'По порядку'!$A$2:$E$414,5,FALSE)</f>
        <v>1.18</v>
      </c>
    </row>
    <row r="155" spans="1:7">
      <c r="A155" s="3">
        <v>141</v>
      </c>
      <c r="B155" s="3">
        <v>154</v>
      </c>
      <c r="C155" t="s">
        <v>125</v>
      </c>
      <c r="D155" t="str">
        <f>VLOOKUP($A155,'По порядку'!$A$2:$E$414,3,FALSE)</f>
        <v>ṣaṣṭhī-</v>
      </c>
      <c r="E155" t="str">
        <f>VLOOKUP($A155,'По порядку'!$A$2:$E$414,4,FALSE)</f>
        <v>tatpuruṣa</v>
      </c>
      <c r="F155" t="str">
        <f>VLOOKUP($A155,'По порядку'!$A$2:$E$414,5,FALSE)</f>
        <v>3.6</v>
      </c>
    </row>
    <row r="156" spans="1:7">
      <c r="A156" s="3">
        <v>175</v>
      </c>
      <c r="B156" s="3">
        <v>155</v>
      </c>
      <c r="C156" t="s">
        <v>125</v>
      </c>
      <c r="D156" t="str">
        <f>VLOOKUP($A156,'По порядку'!$A$2:$E$414,3,FALSE)</f>
        <v>ṣaṣṭhī-</v>
      </c>
      <c r="E156" t="str">
        <f>VLOOKUP($A156,'По порядку'!$A$2:$E$414,4,FALSE)</f>
        <v>tatpuruṣa</v>
      </c>
      <c r="F156" t="str">
        <f>VLOOKUP($A156,'По порядку'!$A$2:$E$414,5,FALSE)</f>
        <v>3.22</v>
      </c>
      <c r="G156" t="b">
        <v>1</v>
      </c>
    </row>
    <row r="157" spans="1:7">
      <c r="A157" s="3">
        <v>250</v>
      </c>
      <c r="B157" s="3">
        <v>156</v>
      </c>
      <c r="C157" t="s">
        <v>560</v>
      </c>
      <c r="D157" t="str">
        <f>VLOOKUP($A157,'По порядку'!$A$2:$E$414,3,FALSE)</f>
        <v>ṣaṣṭhī-</v>
      </c>
      <c r="E157" t="str">
        <f>VLOOKUP($A157,'По порядку'!$A$2:$E$414,4,FALSE)</f>
        <v>tatpuruṣa</v>
      </c>
      <c r="F157" t="str">
        <f>VLOOKUP($A157,'По порядку'!$A$2:$E$414,5,FALSE)</f>
        <v>5.12</v>
      </c>
    </row>
    <row r="158" spans="1:7">
      <c r="A158" s="3">
        <v>234</v>
      </c>
      <c r="B158" s="3">
        <v>157</v>
      </c>
      <c r="C158" t="s">
        <v>200</v>
      </c>
      <c r="D158" t="str">
        <f>VLOOKUP($A158,'По порядку'!$A$2:$E$414,3,FALSE)</f>
        <v>ṣaṣṭhī-</v>
      </c>
      <c r="E158" t="str">
        <f>VLOOKUP($A158,'По порядку'!$A$2:$E$414,4,FALSE)</f>
        <v>tatpuruṣa</v>
      </c>
      <c r="F158" t="str">
        <f>VLOOKUP($A158,'По порядку'!$A$2:$E$414,5,FALSE)</f>
        <v>5.1</v>
      </c>
    </row>
    <row r="159" spans="1:7">
      <c r="A159" s="3">
        <v>202</v>
      </c>
      <c r="B159" s="3">
        <v>158</v>
      </c>
      <c r="C159" t="s">
        <v>177</v>
      </c>
      <c r="D159" t="str">
        <f>VLOOKUP($A159,'По порядку'!$A$2:$E$414,3,FALSE)</f>
        <v>upapada-</v>
      </c>
      <c r="E159" t="str">
        <f>VLOOKUP($A159,'По порядку'!$A$2:$E$414,4,FALSE)</f>
        <v>tatpuruṣa</v>
      </c>
      <c r="F159" t="str">
        <f>VLOOKUP($A159,'По порядку'!$A$2:$E$414,5,FALSE)</f>
        <v>4.5</v>
      </c>
    </row>
    <row r="160" spans="1:7">
      <c r="A160" s="3">
        <v>197</v>
      </c>
      <c r="B160" s="3">
        <v>159</v>
      </c>
      <c r="C160" t="s">
        <v>172</v>
      </c>
      <c r="D160" t="str">
        <f>VLOOKUP($A160,'По порядку'!$A$2:$E$414,3,FALSE)</f>
        <v>ṣaṣṭhī-</v>
      </c>
      <c r="E160" t="str">
        <f>VLOOKUP($A160,'По порядку'!$A$2:$E$414,4,FALSE)</f>
        <v>tatpuruṣa</v>
      </c>
      <c r="F160" t="str">
        <f>VLOOKUP($A160,'По порядку'!$A$2:$E$414,5,FALSE)</f>
        <v>4.2</v>
      </c>
    </row>
    <row r="161" spans="1:6">
      <c r="A161" s="3">
        <v>139</v>
      </c>
      <c r="B161" s="3">
        <v>160</v>
      </c>
      <c r="C161" t="s">
        <v>123</v>
      </c>
      <c r="D161" t="str">
        <f>VLOOKUP($A161,'По порядку'!$A$2:$E$414,3,FALSE)</f>
        <v>ṣaṣṭhī-</v>
      </c>
      <c r="E161" t="str">
        <f>VLOOKUP($A161,'По порядку'!$A$2:$E$414,4,FALSE)</f>
        <v>tatpuruṣa</v>
      </c>
      <c r="F161" t="str">
        <f>VLOOKUP($A161,'По порядку'!$A$2:$E$414,5,FALSE)</f>
        <v>3.5</v>
      </c>
    </row>
    <row r="162" spans="1:6">
      <c r="A162" s="3">
        <v>349</v>
      </c>
      <c r="B162" s="3">
        <v>161</v>
      </c>
      <c r="C162" t="s">
        <v>292</v>
      </c>
      <c r="D162" t="str">
        <f>VLOOKUP($A162,'По порядку'!$A$2:$E$414,3,FALSE)</f>
        <v>ṣaṣṭhī-</v>
      </c>
      <c r="E162" t="str">
        <f>VLOOKUP($A162,'По порядку'!$A$2:$E$414,4,FALSE)</f>
        <v>tatpuruṣa</v>
      </c>
      <c r="F162" t="str">
        <f>VLOOKUP($A162,'По порядку'!$A$2:$E$414,5,FALSE)</f>
        <v>6.48</v>
      </c>
    </row>
    <row r="163" spans="1:6">
      <c r="A163" s="3">
        <v>47</v>
      </c>
      <c r="B163" s="3">
        <v>162</v>
      </c>
      <c r="C163" t="s">
        <v>41</v>
      </c>
      <c r="D163" t="str">
        <f>VLOOKUP($A163,'По порядку'!$A$2:$E$414,3,FALSE)</f>
        <v>upapada-</v>
      </c>
      <c r="E163" t="str">
        <f>VLOOKUP($A163,'По порядку'!$A$2:$E$414,4,FALSE)</f>
        <v>tatpuruṣa</v>
      </c>
      <c r="F163" t="str">
        <f>VLOOKUP($A163,'По порядку'!$A$2:$E$414,5,FALSE)</f>
        <v>1.23</v>
      </c>
    </row>
    <row r="164" spans="1:6">
      <c r="A164" s="3">
        <v>46</v>
      </c>
      <c r="B164" s="3">
        <v>163</v>
      </c>
      <c r="C164" t="s">
        <v>40</v>
      </c>
      <c r="D164" t="str">
        <f>VLOOKUP($A164,'По порядку'!$A$2:$E$414,3,FALSE)</f>
        <v>ṣaṣṭhī-</v>
      </c>
      <c r="E164" t="str">
        <f>VLOOKUP($A164,'По порядку'!$A$2:$E$414,4,FALSE)</f>
        <v>tatpuruṣa</v>
      </c>
      <c r="F164" t="str">
        <f>VLOOKUP($A164,'По порядку'!$A$2:$E$414,5,FALSE)</f>
        <v>1.23</v>
      </c>
    </row>
    <row r="165" spans="1:6">
      <c r="A165" s="3">
        <v>383</v>
      </c>
      <c r="B165" s="3">
        <v>164</v>
      </c>
      <c r="C165" t="s">
        <v>322</v>
      </c>
      <c r="D165" t="str">
        <f>VLOOKUP($A165,'По порядку'!$A$2:$E$414,3,FALSE)</f>
        <v>ṣaṣṭhī-</v>
      </c>
      <c r="E165" t="str">
        <f>VLOOKUP($A165,'По порядку'!$A$2:$E$414,4,FALSE)</f>
        <v>tatpuruṣa</v>
      </c>
      <c r="F165" t="str">
        <f>VLOOKUP($A165,'По порядку'!$A$2:$E$414,5,FALSE)</f>
        <v>6.63</v>
      </c>
    </row>
    <row r="166" spans="1:6">
      <c r="A166" s="3">
        <v>332</v>
      </c>
      <c r="B166" s="3">
        <v>165</v>
      </c>
      <c r="C166" t="s">
        <v>278</v>
      </c>
      <c r="D166" t="str">
        <f>VLOOKUP($A166,'По порядку'!$A$2:$E$414,3,FALSE)</f>
        <v xml:space="preserve">samānādhikaraṇa </v>
      </c>
      <c r="E166" t="str">
        <f>VLOOKUP($A166,'По порядку'!$A$2:$E$414,4,FALSE)</f>
        <v>bahuvrīhi</v>
      </c>
      <c r="F166" t="str">
        <f>VLOOKUP($A166,'По порядку'!$A$2:$E$414,5,FALSE)</f>
        <v>6.38</v>
      </c>
    </row>
    <row r="167" spans="1:6">
      <c r="A167" s="3">
        <v>267</v>
      </c>
      <c r="B167" s="3">
        <v>166</v>
      </c>
      <c r="C167" t="s">
        <v>225</v>
      </c>
      <c r="D167" t="str">
        <f>VLOOKUP($A167,'По порядку'!$A$2:$E$414,3,FALSE)</f>
        <v xml:space="preserve">samānādhikaraṇa </v>
      </c>
      <c r="E167" t="str">
        <f>VLOOKUP($A167,'По порядку'!$A$2:$E$414,4,FALSE)</f>
        <v>bahuvrīhi</v>
      </c>
      <c r="F167" t="str">
        <f>VLOOKUP($A167,'По порядку'!$A$2:$E$414,5,FALSE)</f>
        <v>6.5</v>
      </c>
    </row>
    <row r="168" spans="1:6">
      <c r="A168" s="3">
        <v>39</v>
      </c>
      <c r="B168" s="3">
        <v>167</v>
      </c>
      <c r="C168" t="s">
        <v>525</v>
      </c>
      <c r="D168" t="str">
        <f>VLOOKUP($A168,'По порядку'!$A$2:$E$414,3,FALSE)</f>
        <v>samānādhikaraṇa-</v>
      </c>
      <c r="E168" t="str">
        <f>VLOOKUP($A168,'По порядку'!$A$2:$E$414,4,FALSE)</f>
        <v>bahuvrīhi</v>
      </c>
      <c r="F168" t="str">
        <f>VLOOKUP($A168,'По порядку'!$A$2:$E$414,5,FALSE)</f>
        <v>1.18</v>
      </c>
    </row>
    <row r="169" spans="1:6">
      <c r="A169" s="3">
        <v>225</v>
      </c>
      <c r="B169" s="3">
        <v>168</v>
      </c>
      <c r="C169" t="s">
        <v>192</v>
      </c>
      <c r="D169" t="str">
        <f>VLOOKUP($A169,'По порядку'!$A$2:$E$414,3,FALSE)</f>
        <v>samāhāra-</v>
      </c>
      <c r="E169" t="str">
        <f>VLOOKUP($A169,'По порядку'!$A$2:$E$414,4,FALSE)</f>
        <v>dvandva</v>
      </c>
      <c r="F169" t="str">
        <f>VLOOKUP($A169,'По порядку'!$A$2:$E$414,5,FALSE)</f>
        <v>4.18</v>
      </c>
    </row>
    <row r="170" spans="1:6">
      <c r="A170" s="3">
        <v>291</v>
      </c>
      <c r="B170" s="3">
        <v>169</v>
      </c>
      <c r="C170" t="s">
        <v>245</v>
      </c>
      <c r="D170" t="str">
        <f>VLOOKUP($A170,'По порядку'!$A$2:$E$414,3,FALSE)</f>
        <v>tṛtīyā-</v>
      </c>
      <c r="E170" t="str">
        <f>VLOOKUP($A170,'По порядку'!$A$2:$E$414,4,FALSE)</f>
        <v>tatpuruṣa</v>
      </c>
      <c r="F170" t="str">
        <f>VLOOKUP($A170,'По порядку'!$A$2:$E$414,5,FALSE)</f>
        <v>6.16</v>
      </c>
    </row>
    <row r="171" spans="1:6">
      <c r="A171" s="3">
        <v>200</v>
      </c>
      <c r="B171" s="3">
        <v>170</v>
      </c>
      <c r="C171" t="s">
        <v>175</v>
      </c>
      <c r="D171" t="str">
        <f>VLOOKUP($A171,'По порядку'!$A$2:$E$414,3,FALSE)</f>
        <v>ṣaṣṭhī-</v>
      </c>
      <c r="E171" t="str">
        <f>VLOOKUP($A171,'По порядку'!$A$2:$E$414,4,FALSE)</f>
        <v>tatpuruṣa</v>
      </c>
      <c r="F171" t="str">
        <f>VLOOKUP($A171,'По порядку'!$A$2:$E$414,5,FALSE)</f>
        <v>4.4</v>
      </c>
    </row>
    <row r="172" spans="1:6">
      <c r="A172" s="3">
        <v>89</v>
      </c>
      <c r="B172" s="3">
        <v>171</v>
      </c>
      <c r="C172" t="s">
        <v>77</v>
      </c>
      <c r="D172" t="str">
        <f>VLOOKUP($A172,'По порядку'!$A$2:$E$414,3,FALSE)</f>
        <v>ṣaṣṭhī-</v>
      </c>
      <c r="E172" t="str">
        <f>VLOOKUP($A172,'По порядку'!$A$2:$E$414,4,FALSE)</f>
        <v>tatpuruṣa</v>
      </c>
      <c r="F172" t="str">
        <f>VLOOKUP($A172,'По порядку'!$A$2:$E$414,5,FALSE)</f>
        <v>1.40</v>
      </c>
    </row>
    <row r="173" spans="1:6">
      <c r="A173" s="3">
        <v>285</v>
      </c>
      <c r="B173" s="3">
        <v>172</v>
      </c>
      <c r="C173" t="s">
        <v>240</v>
      </c>
      <c r="D173" t="str">
        <f>VLOOKUP($A173,'По порядку'!$A$2:$E$414,3,FALSE)</f>
        <v>ṣaṣṭhī-</v>
      </c>
      <c r="E173" t="str">
        <f>VLOOKUP($A173,'По порядку'!$A$2:$E$414,4,FALSE)</f>
        <v>tatpuruṣa</v>
      </c>
      <c r="F173" t="str">
        <f>VLOOKUP($A173,'По порядку'!$A$2:$E$414,5,FALSE)</f>
        <v>6.12</v>
      </c>
    </row>
    <row r="174" spans="1:6">
      <c r="A174" s="3">
        <v>352</v>
      </c>
      <c r="B174" s="3">
        <v>173</v>
      </c>
      <c r="C174" t="s">
        <v>294</v>
      </c>
      <c r="D174" t="str">
        <f>VLOOKUP($A174,'По порядку'!$A$2:$E$414,3,FALSE)</f>
        <v>upapada-</v>
      </c>
      <c r="E174" t="str">
        <f>VLOOKUP($A174,'По порядку'!$A$2:$E$414,4,FALSE)</f>
        <v>tatpuruṣa</v>
      </c>
      <c r="F174" t="str">
        <f>VLOOKUP($A174,'По порядку'!$A$2:$E$414,5,FALSE)</f>
        <v>6.49</v>
      </c>
    </row>
    <row r="175" spans="1:6">
      <c r="A175" s="3">
        <v>409</v>
      </c>
      <c r="B175" s="3">
        <v>174</v>
      </c>
      <c r="C175" t="s">
        <v>347</v>
      </c>
      <c r="D175" t="str">
        <f>VLOOKUP($A175,'По порядку'!$A$2:$E$414,3,FALSE)</f>
        <v xml:space="preserve">itaretara </v>
      </c>
      <c r="E175" t="str">
        <f>VLOOKUP($A175,'По порядку'!$A$2:$E$414,4,FALSE)</f>
        <v>dvandva</v>
      </c>
      <c r="F175" t="str">
        <f>VLOOKUP($A175,'По порядку'!$A$2:$E$414,5,FALSE)</f>
        <v>7.7</v>
      </c>
    </row>
    <row r="176" spans="1:6">
      <c r="A176" s="3">
        <v>106</v>
      </c>
      <c r="B176" s="3">
        <v>175</v>
      </c>
      <c r="C176" t="s">
        <v>90</v>
      </c>
      <c r="D176" t="str">
        <f>VLOOKUP($A176,'По порядку'!$A$2:$E$414,3,FALSE)</f>
        <v xml:space="preserve">viśeṣaṇapūrvapadaḥ </v>
      </c>
      <c r="E176" t="str">
        <f>VLOOKUP($A176,'По порядку'!$A$2:$E$414,4,FALSE)</f>
        <v>karmadhāraya</v>
      </c>
      <c r="F176" t="str">
        <f>VLOOKUP($A176,'По порядку'!$A$2:$E$414,5,FALSE)</f>
        <v>2.10</v>
      </c>
    </row>
    <row r="177" spans="1:7">
      <c r="A177" s="3">
        <v>363</v>
      </c>
      <c r="B177" s="3">
        <v>176</v>
      </c>
      <c r="C177" t="s">
        <v>303</v>
      </c>
      <c r="D177" t="str">
        <f>VLOOKUP($A177,'По порядку'!$A$2:$E$414,3,FALSE)</f>
        <v>ṣaṣṭhī-</v>
      </c>
      <c r="E177" t="str">
        <f>VLOOKUP($A177,'По порядку'!$A$2:$E$414,4,FALSE)</f>
        <v>tatpuruṣa</v>
      </c>
      <c r="F177" t="str">
        <f>VLOOKUP($A177,'По порядку'!$A$2:$E$414,5,FALSE)</f>
        <v>6.54</v>
      </c>
    </row>
    <row r="178" spans="1:7">
      <c r="A178" s="3">
        <v>358</v>
      </c>
      <c r="B178" s="3">
        <v>177</v>
      </c>
      <c r="C178" t="s">
        <v>299</v>
      </c>
      <c r="D178" t="str">
        <f>VLOOKUP($A178,'По порядку'!$A$2:$E$414,3,FALSE)</f>
        <v xml:space="preserve">itaretara </v>
      </c>
      <c r="E178" t="str">
        <f>VLOOKUP($A178,'По порядку'!$A$2:$E$414,4,FALSE)</f>
        <v>dvandva</v>
      </c>
      <c r="F178" t="str">
        <f>VLOOKUP($A178,'По порядку'!$A$2:$E$414,5,FALSE)</f>
        <v>6.52</v>
      </c>
    </row>
    <row r="179" spans="1:7">
      <c r="A179" s="3">
        <v>271</v>
      </c>
      <c r="B179" s="3">
        <v>178</v>
      </c>
      <c r="C179" t="s">
        <v>228</v>
      </c>
      <c r="D179" t="str">
        <f>VLOOKUP($A179,'По порядку'!$A$2:$E$414,3,FALSE)</f>
        <v xml:space="preserve">samānādhikaraṇa </v>
      </c>
      <c r="E179" t="str">
        <f>VLOOKUP($A179,'По порядку'!$A$2:$E$414,4,FALSE)</f>
        <v>bahuvrīhi</v>
      </c>
      <c r="F179" t="str">
        <f>VLOOKUP($A179,'По порядку'!$A$2:$E$414,5,FALSE)</f>
        <v>6.6</v>
      </c>
    </row>
    <row r="180" spans="1:7">
      <c r="A180" s="3">
        <v>287</v>
      </c>
      <c r="B180" s="3">
        <v>179</v>
      </c>
      <c r="C180" t="s">
        <v>242</v>
      </c>
      <c r="D180" t="str">
        <f>VLOOKUP($A180,'По порядку'!$A$2:$E$414,3,FALSE)</f>
        <v>upapada-</v>
      </c>
      <c r="E180" t="str">
        <f>VLOOKUP($A180,'По порядку'!$A$2:$E$414,4,FALSE)</f>
        <v>tatpuruṣa</v>
      </c>
      <c r="F180" t="str">
        <f>VLOOKUP($A180,'По порядку'!$A$2:$E$414,5,FALSE)</f>
        <v>6.14</v>
      </c>
    </row>
    <row r="181" spans="1:7">
      <c r="A181" s="3">
        <v>91</v>
      </c>
      <c r="B181" s="3">
        <v>180</v>
      </c>
      <c r="C181" t="s">
        <v>39</v>
      </c>
      <c r="D181" t="str">
        <f>VLOOKUP($A181,'По порядку'!$A$2:$E$414,3,FALSE)</f>
        <v>ṣaṣṭhī-</v>
      </c>
      <c r="E181" t="str">
        <f>VLOOKUP($A181,'По порядку'!$A$2:$E$414,4,FALSE)</f>
        <v>tatpuruṣa</v>
      </c>
      <c r="F181" t="str">
        <f>VLOOKUP($A181,'По порядку'!$A$2:$E$414,5,FALSE)</f>
        <v>2.2</v>
      </c>
    </row>
    <row r="182" spans="1:7">
      <c r="A182" s="3">
        <v>45</v>
      </c>
      <c r="B182" s="3">
        <v>181</v>
      </c>
      <c r="C182" t="s">
        <v>39</v>
      </c>
      <c r="D182" t="str">
        <f>VLOOKUP($A182,'По порядку'!$A$2:$E$414,3,FALSE)</f>
        <v>ṣaṣṭhī-</v>
      </c>
      <c r="E182" t="str">
        <f>VLOOKUP($A182,'По порядку'!$A$2:$E$414,4,FALSE)</f>
        <v>tatpuruṣa</v>
      </c>
      <c r="F182" t="str">
        <f>VLOOKUP($A182,'По порядку'!$A$2:$E$414,5,FALSE)</f>
        <v>1.23</v>
      </c>
      <c r="G182" t="b">
        <v>1</v>
      </c>
    </row>
    <row r="183" spans="1:7">
      <c r="A183" s="3">
        <v>113</v>
      </c>
      <c r="B183" s="3">
        <v>182</v>
      </c>
      <c r="C183" t="s">
        <v>97</v>
      </c>
      <c r="D183" t="str">
        <f>VLOOKUP($A183,'По порядку'!$A$2:$E$414,3,FALSE)</f>
        <v>ṣaṣṭhī-</v>
      </c>
      <c r="E183" t="str">
        <f>VLOOKUP($A183,'По порядку'!$A$2:$E$414,4,FALSE)</f>
        <v>tatpuruṣa</v>
      </c>
      <c r="F183" t="str">
        <f>VLOOKUP($A183,'По порядку'!$A$2:$E$414,5,FALSE)</f>
        <v>2.13</v>
      </c>
    </row>
    <row r="184" spans="1:7">
      <c r="A184" s="3">
        <v>344</v>
      </c>
      <c r="B184" s="3">
        <v>183</v>
      </c>
      <c r="C184" t="s">
        <v>287</v>
      </c>
      <c r="D184" t="str">
        <f>VLOOKUP($A184,'По порядку'!$A$2:$E$414,3,FALSE)</f>
        <v xml:space="preserve">viśeṣaṇapūrvapadaḥ </v>
      </c>
      <c r="E184" t="str">
        <f>VLOOKUP($A184,'По порядку'!$A$2:$E$414,4,FALSE)</f>
        <v>karmadhāraya</v>
      </c>
      <c r="F184" t="str">
        <f>VLOOKUP($A184,'По порядку'!$A$2:$E$414,5,FALSE)</f>
        <v>6.46</v>
      </c>
    </row>
    <row r="185" spans="1:7">
      <c r="A185" s="3">
        <v>313</v>
      </c>
      <c r="B185" s="3">
        <v>184</v>
      </c>
      <c r="C185" t="s">
        <v>259</v>
      </c>
      <c r="D185" t="str">
        <f>VLOOKUP($A185,'По порядку'!$A$2:$E$414,3,FALSE)</f>
        <v>ṣaṣṭhī-</v>
      </c>
      <c r="E185" t="str">
        <f>VLOOKUP($A185,'По порядку'!$A$2:$E$414,4,FALSE)</f>
        <v>tatpuruṣa</v>
      </c>
      <c r="F185" t="str">
        <f>VLOOKUP($A185,'По порядку'!$A$2:$E$414,5,FALSE)</f>
        <v>6.29</v>
      </c>
    </row>
    <row r="186" spans="1:7">
      <c r="A186" s="3">
        <v>199</v>
      </c>
      <c r="B186" s="3">
        <v>185</v>
      </c>
      <c r="C186" t="s">
        <v>174</v>
      </c>
      <c r="D186" t="str">
        <f>VLOOKUP($A186,'По порядку'!$A$2:$E$414,3,FALSE)</f>
        <v>ṣaṣṭhī-</v>
      </c>
      <c r="E186" t="str">
        <f>VLOOKUP($A186,'По порядку'!$A$2:$E$414,4,FALSE)</f>
        <v>tatpuruṣa</v>
      </c>
      <c r="F186" t="str">
        <f>VLOOKUP($A186,'По порядку'!$A$2:$E$414,5,FALSE)</f>
        <v>4.4</v>
      </c>
    </row>
    <row r="187" spans="1:7">
      <c r="A187" s="3">
        <v>322</v>
      </c>
      <c r="B187" s="3">
        <v>186</v>
      </c>
      <c r="C187" t="s">
        <v>268</v>
      </c>
      <c r="D187" t="str">
        <f>VLOOKUP($A187,'По порядку'!$A$2:$E$414,3,FALSE)</f>
        <v>ṣaṣṭhī-</v>
      </c>
      <c r="E187" t="str">
        <f>VLOOKUP($A187,'По порядку'!$A$2:$E$414,4,FALSE)</f>
        <v>tatpuruṣa</v>
      </c>
      <c r="F187" t="str">
        <f>VLOOKUP($A187,'По порядку'!$A$2:$E$414,5,FALSE)</f>
        <v>6.32</v>
      </c>
    </row>
    <row r="188" spans="1:7">
      <c r="A188" s="3">
        <v>243</v>
      </c>
      <c r="B188" s="3">
        <v>187</v>
      </c>
      <c r="C188" t="s">
        <v>559</v>
      </c>
      <c r="D188" t="str">
        <f>VLOOKUP($A188,'По порядку'!$A$2:$E$414,3,FALSE)</f>
        <v>tṛtīyā-</v>
      </c>
      <c r="E188" t="str">
        <f>VLOOKUP($A188,'По порядку'!$A$2:$E$414,4,FALSE)</f>
        <v>tatpuruṣa</v>
      </c>
      <c r="F188" t="str">
        <f>VLOOKUP($A188,'По порядку'!$A$2:$E$414,5,FALSE)</f>
        <v>5.6</v>
      </c>
    </row>
    <row r="189" spans="1:7">
      <c r="A189" s="3">
        <v>95</v>
      </c>
      <c r="B189" s="3">
        <v>188</v>
      </c>
      <c r="C189" t="s">
        <v>82</v>
      </c>
      <c r="D189" t="str">
        <f>VLOOKUP($A189,'По порядку'!$A$2:$E$414,3,FALSE)</f>
        <v>tṛtīyā-</v>
      </c>
      <c r="E189" t="str">
        <f>VLOOKUP($A189,'По порядку'!$A$2:$E$414,4,FALSE)</f>
        <v>tatpuruṣa</v>
      </c>
      <c r="F189" t="str">
        <f>VLOOKUP($A189,'По порядку'!$A$2:$E$414,5,FALSE)</f>
        <v>2.3</v>
      </c>
    </row>
    <row r="190" spans="1:7">
      <c r="A190" s="3">
        <v>94</v>
      </c>
      <c r="B190" s="3">
        <v>189</v>
      </c>
      <c r="C190" t="s">
        <v>81</v>
      </c>
      <c r="D190" t="str">
        <f>VLOOKUP($A190,'По порядку'!$A$2:$E$414,3,FALSE)</f>
        <v>samānādhikaraṇa-</v>
      </c>
      <c r="E190" t="str">
        <f>VLOOKUP($A190,'По порядку'!$A$2:$E$414,4,FALSE)</f>
        <v>bahuvrīhi</v>
      </c>
      <c r="F190" t="str">
        <f>VLOOKUP($A190,'По порядку'!$A$2:$E$414,5,FALSE)</f>
        <v>2.3</v>
      </c>
    </row>
    <row r="191" spans="1:7">
      <c r="A191" s="3">
        <v>412</v>
      </c>
      <c r="B191" s="3">
        <v>190</v>
      </c>
      <c r="C191" t="s">
        <v>348</v>
      </c>
      <c r="D191" t="str">
        <f>VLOOKUP($A191,'По порядку'!$A$2:$E$414,3,FALSE)</f>
        <v xml:space="preserve">samānādhikaraṇa </v>
      </c>
      <c r="E191" t="str">
        <f>VLOOKUP($A191,'По порядку'!$A$2:$E$414,4,FALSE)</f>
        <v>bahuvrīhi</v>
      </c>
      <c r="F191" t="str">
        <f>VLOOKUP($A191,'По порядку'!$A$2:$E$414,5,FALSE)</f>
        <v>7.8</v>
      </c>
    </row>
    <row r="192" spans="1:7">
      <c r="A192" s="3">
        <v>19</v>
      </c>
      <c r="B192" s="3">
        <v>191</v>
      </c>
      <c r="C192" t="s">
        <v>17</v>
      </c>
      <c r="D192" t="str">
        <f>VLOOKUP($A192,'По порядку'!$A$2:$E$414,3,FALSE)</f>
        <v>ṣaṣṭhī-</v>
      </c>
      <c r="E192" t="str">
        <f>VLOOKUP($A192,'По порядку'!$A$2:$E$414,4,FALSE)</f>
        <v>tatpuruṣa</v>
      </c>
      <c r="F192" t="str">
        <f>VLOOKUP($A192,'По порядку'!$A$2:$E$414,5,FALSE)</f>
        <v>1.8</v>
      </c>
    </row>
    <row r="193" spans="1:7">
      <c r="A193" s="3">
        <v>283</v>
      </c>
      <c r="B193" s="3">
        <v>192</v>
      </c>
      <c r="C193" t="s">
        <v>238</v>
      </c>
      <c r="D193" t="str">
        <f>VLOOKUP($A193,'По порядку'!$A$2:$E$414,3,FALSE)</f>
        <v xml:space="preserve">samānādhikaraṇa </v>
      </c>
      <c r="E193" t="str">
        <f>VLOOKUP($A193,'По порядку'!$A$2:$E$414,4,FALSE)</f>
        <v>bahuvrīhi</v>
      </c>
      <c r="F193" t="str">
        <f>VLOOKUP($A193,'По порядку'!$A$2:$E$414,5,FALSE)</f>
        <v>6.11</v>
      </c>
    </row>
    <row r="194" spans="1:7">
      <c r="A194" s="3">
        <v>396</v>
      </c>
      <c r="B194" s="3">
        <v>193</v>
      </c>
      <c r="C194" t="s">
        <v>334</v>
      </c>
      <c r="D194" t="str">
        <f>VLOOKUP($A194,'По порядку'!$A$2:$E$414,3,FALSE)</f>
        <v xml:space="preserve">samānādhikaraṇa </v>
      </c>
      <c r="E194" t="str">
        <f>VLOOKUP($A194,'По порядку'!$A$2:$E$414,4,FALSE)</f>
        <v>bahuvrīhi</v>
      </c>
      <c r="F194" t="str">
        <f>VLOOKUP($A194,'По порядку'!$A$2:$E$414,5,FALSE)</f>
        <v>6.68</v>
      </c>
    </row>
    <row r="195" spans="1:7">
      <c r="A195" s="3">
        <v>59</v>
      </c>
      <c r="B195" s="3">
        <v>194</v>
      </c>
      <c r="C195" t="s">
        <v>53</v>
      </c>
      <c r="D195" t="str">
        <f>VLOOKUP($A195,'По порядку'!$A$2:$E$414,3,FALSE)</f>
        <v xml:space="preserve">viśeṣaṇapūrvapadaḥ </v>
      </c>
      <c r="E195" t="str">
        <f>VLOOKUP($A195,'По порядку'!$A$2:$E$414,4,FALSE)</f>
        <v>karmadhāraya</v>
      </c>
      <c r="F195" t="str">
        <f>VLOOKUP($A195,'По порядку'!$A$2:$E$414,5,FALSE)</f>
        <v>1.29</v>
      </c>
    </row>
    <row r="196" spans="1:7">
      <c r="A196" s="3">
        <v>101</v>
      </c>
      <c r="B196" s="3">
        <v>195</v>
      </c>
      <c r="C196" t="s">
        <v>87</v>
      </c>
      <c r="D196" t="str">
        <f>VLOOKUP($A196,'По порядку'!$A$2:$E$414,3,FALSE)</f>
        <v>ṣaṣṭhī-</v>
      </c>
      <c r="E196" t="str">
        <f>VLOOKUP($A196,'По порядку'!$A$2:$E$414,4,FALSE)</f>
        <v>tatpuruṣa</v>
      </c>
      <c r="F196" t="str">
        <f>VLOOKUP($A196,'По порядку'!$A$2:$E$414,5,FALSE)</f>
        <v>2.4</v>
      </c>
    </row>
    <row r="197" spans="1:7">
      <c r="A197" s="3">
        <v>93</v>
      </c>
      <c r="B197" s="3">
        <v>196</v>
      </c>
      <c r="C197" t="s">
        <v>80</v>
      </c>
      <c r="D197" t="str">
        <f>VLOOKUP($A197,'По порядку'!$A$2:$E$414,3,FALSE)</f>
        <v>ṣaṣṭhī-</v>
      </c>
      <c r="E197" t="str">
        <f>VLOOKUP($A197,'По порядку'!$A$2:$E$414,4,FALSE)</f>
        <v>tatpuruṣa</v>
      </c>
      <c r="F197" t="str">
        <f>VLOOKUP($A197,'По порядку'!$A$2:$E$414,5,FALSE)</f>
        <v>2.3</v>
      </c>
    </row>
    <row r="198" spans="1:7">
      <c r="A198" s="3">
        <v>231</v>
      </c>
      <c r="B198" s="3">
        <v>197</v>
      </c>
      <c r="C198" t="s">
        <v>197</v>
      </c>
      <c r="D198" t="str">
        <f>VLOOKUP($A198,'По порядку'!$A$2:$E$414,3,FALSE)</f>
        <v xml:space="preserve">viśeṣaṇapūrvapadaḥ </v>
      </c>
      <c r="E198" t="str">
        <f>VLOOKUP($A198,'По порядку'!$A$2:$E$414,4,FALSE)</f>
        <v>karmadhāraya</v>
      </c>
      <c r="F198" t="str">
        <f>VLOOKUP($A198,'По порядку'!$A$2:$E$414,5,FALSE)</f>
        <v>4.20</v>
      </c>
    </row>
    <row r="199" spans="1:7">
      <c r="A199" s="3">
        <v>236</v>
      </c>
      <c r="B199" s="3">
        <v>198</v>
      </c>
      <c r="C199" t="s">
        <v>201</v>
      </c>
      <c r="D199" t="str">
        <f>VLOOKUP($A199,'По порядку'!$A$2:$E$414,3,FALSE)</f>
        <v xml:space="preserve">viśeṣaṇapūrvapadaḥ </v>
      </c>
      <c r="E199" t="str">
        <f>VLOOKUP($A199,'По порядку'!$A$2:$E$414,4,FALSE)</f>
        <v>karmadhāraya</v>
      </c>
      <c r="F199" t="str">
        <f>VLOOKUP($A199,'По порядку'!$A$2:$E$414,5,FALSE)</f>
        <v>5.2</v>
      </c>
    </row>
    <row r="200" spans="1:7">
      <c r="A200" s="3">
        <v>258</v>
      </c>
      <c r="B200" s="3">
        <v>199</v>
      </c>
      <c r="C200" t="s">
        <v>201</v>
      </c>
      <c r="D200" t="str">
        <f>VLOOKUP($A200,'По порядку'!$A$2:$E$414,3,FALSE)</f>
        <v xml:space="preserve">viśeṣaṇapūrvapadaḥ </v>
      </c>
      <c r="E200" t="str">
        <f>VLOOKUP($A200,'По порядку'!$A$2:$E$414,4,FALSE)</f>
        <v>karmadhāraya</v>
      </c>
      <c r="F200" t="str">
        <f>VLOOKUP($A200,'По порядку'!$A$2:$E$414,5,FALSE)</f>
        <v>6.1</v>
      </c>
      <c r="G200" t="b">
        <v>1</v>
      </c>
    </row>
    <row r="201" spans="1:7">
      <c r="A201" s="3">
        <v>114</v>
      </c>
      <c r="B201" s="3">
        <v>200</v>
      </c>
      <c r="C201" t="s">
        <v>98</v>
      </c>
      <c r="D201" t="str">
        <f>VLOOKUP($A201,'По порядку'!$A$2:$E$414,3,FALSE)</f>
        <v>ṣaṣṭhī-</v>
      </c>
      <c r="E201" t="str">
        <f>VLOOKUP($A201,'По порядку'!$A$2:$E$414,4,FALSE)</f>
        <v>tatpuruṣa</v>
      </c>
      <c r="F201" t="str">
        <f>VLOOKUP($A201,'По порядку'!$A$2:$E$414,5,FALSE)</f>
        <v>2.13</v>
      </c>
    </row>
    <row r="202" spans="1:7">
      <c r="A202" s="3">
        <v>299</v>
      </c>
      <c r="B202" s="3">
        <v>201</v>
      </c>
      <c r="C202" t="s">
        <v>249</v>
      </c>
      <c r="D202" t="str">
        <f>VLOOKUP($A202,'По порядку'!$A$2:$E$414,3,FALSE)</f>
        <v xml:space="preserve">viśeṣaṇapūrvapadaḥ </v>
      </c>
      <c r="E202" t="str">
        <f>VLOOKUP($A202,'По порядку'!$A$2:$E$414,4,FALSE)</f>
        <v>karmadhāraya</v>
      </c>
      <c r="F202" t="str">
        <f>VLOOKUP($A202,'По порядку'!$A$2:$E$414,5,FALSE)</f>
        <v>6.19</v>
      </c>
    </row>
    <row r="203" spans="1:7">
      <c r="A203" s="3">
        <v>75</v>
      </c>
      <c r="B203" s="3">
        <v>202</v>
      </c>
      <c r="C203" t="s">
        <v>67</v>
      </c>
      <c r="D203" t="str">
        <f>VLOOKUP($A203,'По порядку'!$A$2:$E$414,3,FALSE)</f>
        <v>ṣaṣṭhī-</v>
      </c>
      <c r="E203" t="str">
        <f>VLOOKUP($A203,'По порядку'!$A$2:$E$414,4,FALSE)</f>
        <v>tatpuruṣa</v>
      </c>
      <c r="F203" t="str">
        <f>VLOOKUP($A203,'По порядку'!$A$2:$E$414,5,FALSE)</f>
        <v>1.37</v>
      </c>
    </row>
    <row r="204" spans="1:7">
      <c r="A204" s="3">
        <v>381</v>
      </c>
      <c r="B204" s="3">
        <v>203</v>
      </c>
      <c r="C204" t="s">
        <v>320</v>
      </c>
      <c r="D204" t="str">
        <f>VLOOKUP($A204,'По порядку'!$A$2:$E$414,3,FALSE)</f>
        <v>ṣaṣṭhī-</v>
      </c>
      <c r="E204" t="str">
        <f>VLOOKUP($A204,'По порядку'!$A$2:$E$414,4,FALSE)</f>
        <v>tatpuruṣa</v>
      </c>
      <c r="F204" t="str">
        <f>VLOOKUP($A204,'По порядку'!$A$2:$E$414,5,FALSE)</f>
        <v>6.62</v>
      </c>
    </row>
    <row r="205" spans="1:7">
      <c r="A205" s="3">
        <v>92</v>
      </c>
      <c r="B205" s="3">
        <v>204</v>
      </c>
      <c r="C205" t="s">
        <v>79</v>
      </c>
      <c r="D205" t="str">
        <f>VLOOKUP($A205,'По порядку'!$A$2:$E$414,3,FALSE)</f>
        <v>tṛtīyā-</v>
      </c>
      <c r="E205" t="str">
        <f>VLOOKUP($A205,'По порядку'!$A$2:$E$414,4,FALSE)</f>
        <v>tatpuruṣa</v>
      </c>
      <c r="F205" t="str">
        <f>VLOOKUP($A205,'По порядку'!$A$2:$E$414,5,FALSE)</f>
        <v>2.2</v>
      </c>
    </row>
    <row r="206" spans="1:7">
      <c r="A206" s="3">
        <v>165</v>
      </c>
      <c r="B206" s="3">
        <v>205</v>
      </c>
      <c r="C206" t="s">
        <v>79</v>
      </c>
      <c r="D206" t="str">
        <f>VLOOKUP($A206,'По порядку'!$A$2:$E$414,3,FALSE)</f>
        <v>tṛtīyā-</v>
      </c>
      <c r="E206" t="str">
        <f>VLOOKUP($A206,'По порядку'!$A$2:$E$414,4,FALSE)</f>
        <v>tatpuruṣa</v>
      </c>
      <c r="F206" t="str">
        <f>VLOOKUP($A206,'По порядку'!$A$2:$E$414,5,FALSE)</f>
        <v>3.18</v>
      </c>
      <c r="G206" t="b">
        <v>1</v>
      </c>
    </row>
    <row r="207" spans="1:7">
      <c r="A207" s="3">
        <v>375</v>
      </c>
      <c r="B207" s="3">
        <v>206</v>
      </c>
      <c r="C207" t="s">
        <v>314</v>
      </c>
      <c r="D207" t="str">
        <f>VLOOKUP($A207,'По порядку'!$A$2:$E$414,3,FALSE)</f>
        <v>tṛtīyā-</v>
      </c>
      <c r="E207" t="str">
        <f>VLOOKUP($A207,'По порядку'!$A$2:$E$414,4,FALSE)</f>
        <v>tatpuruṣa</v>
      </c>
      <c r="F207" t="str">
        <f>VLOOKUP($A207,'По порядку'!$A$2:$E$414,5,FALSE)</f>
        <v>6.60</v>
      </c>
    </row>
    <row r="208" spans="1:7">
      <c r="A208" s="3">
        <v>365</v>
      </c>
      <c r="B208" s="3">
        <v>207</v>
      </c>
      <c r="C208" t="s">
        <v>305</v>
      </c>
      <c r="D208" t="str">
        <f>VLOOKUP($A208,'По порядку'!$A$2:$E$414,3,FALSE)</f>
        <v>ṣaṣṭhī-</v>
      </c>
      <c r="E208" t="str">
        <f>VLOOKUP($A208,'По порядку'!$A$2:$E$414,4,FALSE)</f>
        <v>tatpuruṣa</v>
      </c>
      <c r="F208" t="str">
        <f>VLOOKUP($A208,'По порядку'!$A$2:$E$414,5,FALSE)</f>
        <v>6.56</v>
      </c>
    </row>
    <row r="209" spans="1:7">
      <c r="A209" s="3">
        <v>20</v>
      </c>
      <c r="B209" s="3">
        <v>208</v>
      </c>
      <c r="C209" t="s">
        <v>18</v>
      </c>
      <c r="D209" t="str">
        <f>VLOOKUP($A209,'По порядку'!$A$2:$E$414,3,FALSE)</f>
        <v>samānādhikaraṇa-</v>
      </c>
      <c r="E209" t="str">
        <f>VLOOKUP($A209,'По порядку'!$A$2:$E$414,4,FALSE)</f>
        <v>bahuvrīhi</v>
      </c>
      <c r="F209" t="str">
        <f>VLOOKUP($A209,'По порядку'!$A$2:$E$414,5,FALSE)</f>
        <v>1.8</v>
      </c>
    </row>
    <row r="210" spans="1:7">
      <c r="A210" s="3">
        <v>61</v>
      </c>
      <c r="B210" s="3">
        <v>209</v>
      </c>
      <c r="C210" t="s">
        <v>54</v>
      </c>
      <c r="D210" t="str">
        <f>VLOOKUP($A210,'По порядку'!$A$2:$E$414,3,FALSE)</f>
        <v>ṣaṣṭhī-</v>
      </c>
      <c r="E210" t="str">
        <f>VLOOKUP($A210,'По порядку'!$A$2:$E$414,4,FALSE)</f>
        <v>tatpuruṣa</v>
      </c>
      <c r="F210" t="str">
        <f>VLOOKUP($A210,'По порядку'!$A$2:$E$414,5,FALSE)</f>
        <v>1.29</v>
      </c>
    </row>
    <row r="211" spans="1:7">
      <c r="A211" s="3">
        <v>60</v>
      </c>
      <c r="B211" s="3">
        <v>210</v>
      </c>
      <c r="C211" t="s">
        <v>553</v>
      </c>
      <c r="D211" t="str">
        <f>VLOOKUP($A211,'По порядку'!$A$2:$E$414,3,FALSE)</f>
        <v>caturthī-</v>
      </c>
      <c r="E211" t="str">
        <f>VLOOKUP($A211,'По порядку'!$A$2:$E$414,4,FALSE)</f>
        <v>tatpuruṣa</v>
      </c>
      <c r="F211" t="str">
        <f>VLOOKUP($A211,'По порядку'!$A$2:$E$414,5,FALSE)</f>
        <v>1.29</v>
      </c>
    </row>
    <row r="212" spans="1:7">
      <c r="A212" s="3">
        <v>164</v>
      </c>
      <c r="B212" s="3">
        <v>211</v>
      </c>
      <c r="C212" t="s">
        <v>146</v>
      </c>
      <c r="D212" t="str">
        <f>VLOOKUP($A212,'По порядку'!$A$2:$E$414,3,FALSE)</f>
        <v>ṣaṣṭhī-</v>
      </c>
      <c r="E212" t="str">
        <f>VLOOKUP($A212,'По порядку'!$A$2:$E$414,4,FALSE)</f>
        <v>tatpuruṣa</v>
      </c>
      <c r="F212" t="str">
        <f>VLOOKUP($A212,'По порядку'!$A$2:$E$414,5,FALSE)</f>
        <v>3.18</v>
      </c>
    </row>
    <row r="213" spans="1:7">
      <c r="A213" s="3">
        <v>163</v>
      </c>
      <c r="B213" s="3">
        <v>212</v>
      </c>
      <c r="C213" t="s">
        <v>145</v>
      </c>
      <c r="D213" t="str">
        <f>VLOOKUP($A213,'По порядку'!$A$2:$E$414,3,FALSE)</f>
        <v>upapada-</v>
      </c>
      <c r="E213" t="str">
        <f>VLOOKUP($A213,'По порядку'!$A$2:$E$414,4,FALSE)</f>
        <v>tatpuruṣa</v>
      </c>
      <c r="F213" t="str">
        <f>VLOOKUP($A213,'По порядку'!$A$2:$E$414,5,FALSE)</f>
        <v>3.18</v>
      </c>
    </row>
    <row r="214" spans="1:7">
      <c r="A214" s="3">
        <v>379</v>
      </c>
      <c r="B214" s="3">
        <v>213</v>
      </c>
      <c r="C214" t="s">
        <v>318</v>
      </c>
      <c r="D214">
        <f>VLOOKUP($A214,'По порядку'!$A$2:$E$414,3,FALSE)</f>
        <v>0</v>
      </c>
      <c r="E214" t="str">
        <f>VLOOKUP($A214,'По порядку'!$A$2:$E$414,4,FALSE)</f>
        <v>avyayībhāva</v>
      </c>
      <c r="F214" t="str">
        <f>VLOOKUP($A214,'По порядку'!$A$2:$E$414,5,FALSE)</f>
        <v>6.61</v>
      </c>
    </row>
    <row r="215" spans="1:7">
      <c r="A215" s="3">
        <v>117</v>
      </c>
      <c r="B215" s="3">
        <v>214</v>
      </c>
      <c r="C215" t="s">
        <v>101</v>
      </c>
      <c r="D215">
        <f>VLOOKUP($A215,'По порядку'!$A$2:$E$414,3,FALSE)</f>
        <v>0</v>
      </c>
      <c r="E215" t="str">
        <f>VLOOKUP($A215,'По порядку'!$A$2:$E$414,4,FALSE)</f>
        <v>avyayībhāva</v>
      </c>
      <c r="F215" t="str">
        <f>VLOOKUP($A215,'По порядку'!$A$2:$E$414,5,FALSE)</f>
        <v>2.14</v>
      </c>
    </row>
    <row r="216" spans="1:7">
      <c r="A216" s="3">
        <v>296</v>
      </c>
      <c r="B216" s="3">
        <v>215</v>
      </c>
      <c r="C216" t="s">
        <v>247</v>
      </c>
      <c r="D216" t="str">
        <f>VLOOKUP($A216,'По порядку'!$A$2:$E$414,3,FALSE)</f>
        <v>saptamī-</v>
      </c>
      <c r="E216" t="str">
        <f>VLOOKUP($A216,'По порядку'!$A$2:$E$414,4,FALSE)</f>
        <v>tatpuruṣa</v>
      </c>
      <c r="F216" t="str">
        <f>VLOOKUP($A216,'По порядку'!$A$2:$E$414,5,FALSE)</f>
        <v>6.18</v>
      </c>
    </row>
    <row r="217" spans="1:7">
      <c r="A217" s="3">
        <v>253</v>
      </c>
      <c r="B217" s="3">
        <v>216</v>
      </c>
      <c r="C217" t="s">
        <v>213</v>
      </c>
      <c r="D217" t="str">
        <f>VLOOKUP($A217,'По порядку'!$A$2:$E$414,3,FALSE)</f>
        <v>tṛtīyā-</v>
      </c>
      <c r="E217" t="str">
        <f>VLOOKUP($A217,'По порядку'!$A$2:$E$414,4,FALSE)</f>
        <v>tatpuruṣa</v>
      </c>
      <c r="F217" t="str">
        <f>VLOOKUP($A217,'По порядку'!$A$2:$E$414,5,FALSE)</f>
        <v>5.13</v>
      </c>
    </row>
    <row r="218" spans="1:7">
      <c r="A218" s="3">
        <v>252</v>
      </c>
      <c r="B218" s="3">
        <v>217</v>
      </c>
      <c r="C218" t="s">
        <v>212</v>
      </c>
      <c r="D218" t="str">
        <f>VLOOKUP($A218,'По порядку'!$A$2:$E$414,3,FALSE)</f>
        <v xml:space="preserve">samānādhikaraṇa </v>
      </c>
      <c r="E218" t="str">
        <f>VLOOKUP($A218,'По порядку'!$A$2:$E$414,4,FALSE)</f>
        <v>bahuvrīhi</v>
      </c>
      <c r="F218" t="str">
        <f>VLOOKUP($A218,'По порядку'!$A$2:$E$414,5,FALSE)</f>
        <v>5.13</v>
      </c>
    </row>
    <row r="219" spans="1:7">
      <c r="A219" s="3">
        <v>152</v>
      </c>
      <c r="B219" s="3">
        <v>218</v>
      </c>
      <c r="C219" t="s">
        <v>136</v>
      </c>
      <c r="D219" t="str">
        <f>VLOOKUP($A219,'По порядку'!$A$2:$E$414,3,FALSE)</f>
        <v>ṣaṣṭhī-</v>
      </c>
      <c r="E219" t="str">
        <f>VLOOKUP($A219,'По порядку'!$A$2:$E$414,4,FALSE)</f>
        <v>tatpuruṣa</v>
      </c>
      <c r="F219" t="str">
        <f>VLOOKUP($A219,'По порядку'!$A$2:$E$414,5,FALSE)</f>
        <v>3.11</v>
      </c>
    </row>
    <row r="220" spans="1:7">
      <c r="A220" s="3">
        <v>159</v>
      </c>
      <c r="B220" s="3">
        <v>219</v>
      </c>
      <c r="C220" t="s">
        <v>136</v>
      </c>
      <c r="D220" t="str">
        <f>VLOOKUP($A220,'По порядку'!$A$2:$E$414,3,FALSE)</f>
        <v>ṣaṣṭhī-</v>
      </c>
      <c r="E220" t="str">
        <f>VLOOKUP($A220,'По порядку'!$A$2:$E$414,4,FALSE)</f>
        <v>tatpuruṣa</v>
      </c>
      <c r="F220" t="str">
        <f>VLOOKUP($A220,'По порядку'!$A$2:$E$414,5,FALSE)</f>
        <v>3.15</v>
      </c>
      <c r="G220" t="b">
        <v>1</v>
      </c>
    </row>
    <row r="221" spans="1:7">
      <c r="A221" s="3">
        <v>251</v>
      </c>
      <c r="B221" s="3">
        <v>220</v>
      </c>
      <c r="C221" t="s">
        <v>561</v>
      </c>
      <c r="D221" t="str">
        <f>VLOOKUP($A221,'По порядку'!$A$2:$E$414,3,FALSE)</f>
        <v>ṣaṣṭhī-</v>
      </c>
      <c r="E221" t="str">
        <f>VLOOKUP($A221,'По порядку'!$A$2:$E$414,4,FALSE)</f>
        <v>tatpuruṣa</v>
      </c>
      <c r="F221" t="str">
        <f>VLOOKUP($A221,'По порядку'!$A$2:$E$414,5,FALSE)</f>
        <v>5.12</v>
      </c>
    </row>
    <row r="222" spans="1:7">
      <c r="A222" s="3">
        <v>191</v>
      </c>
      <c r="B222" s="3">
        <v>221</v>
      </c>
      <c r="C222" t="s">
        <v>167</v>
      </c>
      <c r="D222" t="str">
        <f>VLOOKUP($A222,'По порядку'!$A$2:$E$414,3,FALSE)</f>
        <v>saptamī-</v>
      </c>
      <c r="E222" t="str">
        <f>VLOOKUP($A222,'По порядку'!$A$2:$E$414,4,FALSE)</f>
        <v>tatpuruṣa</v>
      </c>
      <c r="F222" t="str">
        <f>VLOOKUP($A222,'По порядку'!$A$2:$E$414,5,FALSE)</f>
        <v>3.28</v>
      </c>
    </row>
    <row r="223" spans="1:7">
      <c r="A223" s="3">
        <v>398</v>
      </c>
      <c r="B223" s="3">
        <v>222</v>
      </c>
      <c r="C223" t="s">
        <v>336</v>
      </c>
      <c r="D223" t="str">
        <f>VLOOKUP($A223,'По порядку'!$A$2:$E$414,3,FALSE)</f>
        <v>ṣaṣṭhī-</v>
      </c>
      <c r="E223" t="str">
        <f>VLOOKUP($A223,'По порядку'!$A$2:$E$414,4,FALSE)</f>
        <v>tatpuruṣa</v>
      </c>
      <c r="F223" t="str">
        <f>VLOOKUP($A223,'По порядку'!$A$2:$E$414,5,FALSE)</f>
        <v>6.68</v>
      </c>
    </row>
    <row r="224" spans="1:7">
      <c r="A224" s="3">
        <v>203</v>
      </c>
      <c r="B224" s="3">
        <v>223</v>
      </c>
      <c r="C224" t="s">
        <v>120</v>
      </c>
      <c r="D224" t="str">
        <f>VLOOKUP($A224,'По порядку'!$A$2:$E$414,3,FALSE)</f>
        <v>ṣaṣṭhī-</v>
      </c>
      <c r="E224" t="str">
        <f>VLOOKUP($A224,'По порядку'!$A$2:$E$414,4,FALSE)</f>
        <v>tatpuruṣa</v>
      </c>
      <c r="F224" t="str">
        <f>VLOOKUP($A224,'По порядку'!$A$2:$E$414,5,FALSE)</f>
        <v>4.6</v>
      </c>
    </row>
    <row r="225" spans="1:7">
      <c r="A225" s="3">
        <v>215</v>
      </c>
      <c r="B225" s="3">
        <v>224</v>
      </c>
      <c r="C225" t="s">
        <v>120</v>
      </c>
      <c r="D225" t="str">
        <f>VLOOKUP($A225,'По порядку'!$A$2:$E$414,3,FALSE)</f>
        <v>ṣaṣṭhī-</v>
      </c>
      <c r="E225" t="str">
        <f>VLOOKUP($A225,'По порядку'!$A$2:$E$414,4,FALSE)</f>
        <v>tatpuruṣa</v>
      </c>
      <c r="F225" t="str">
        <f>VLOOKUP($A225,'По порядку'!$A$2:$E$414,5,FALSE)</f>
        <v>4.12</v>
      </c>
      <c r="G225" t="b">
        <v>1</v>
      </c>
    </row>
    <row r="226" spans="1:7">
      <c r="A226" s="3">
        <v>136</v>
      </c>
      <c r="B226" s="3">
        <v>225</v>
      </c>
      <c r="C226" t="s">
        <v>120</v>
      </c>
      <c r="D226" t="str">
        <f>VLOOKUP($A226,'По порядку'!$A$2:$E$414,3,FALSE)</f>
        <v>saptamī-</v>
      </c>
      <c r="E226" t="str">
        <f>VLOOKUP($A226,'По порядку'!$A$2:$E$414,4,FALSE)</f>
        <v>tatpuruṣa</v>
      </c>
      <c r="F226" t="str">
        <f>VLOOKUP($A226,'По порядку'!$A$2:$E$414,5,FALSE)</f>
        <v>3.3</v>
      </c>
      <c r="G226" t="b">
        <v>1</v>
      </c>
    </row>
    <row r="227" spans="1:7">
      <c r="A227" s="3">
        <v>282</v>
      </c>
      <c r="B227" s="3">
        <v>226</v>
      </c>
      <c r="C227" t="s">
        <v>237</v>
      </c>
      <c r="D227" t="str">
        <f>VLOOKUP($A227,'По порядку'!$A$2:$E$414,3,FALSE)</f>
        <v>ṣaṣṭhī-</v>
      </c>
      <c r="E227" t="str">
        <f>VLOOKUP($A227,'По порядку'!$A$2:$E$414,4,FALSE)</f>
        <v>tatpuruṣa</v>
      </c>
      <c r="F227" t="str">
        <f>VLOOKUP($A227,'По порядку'!$A$2:$E$414,5,FALSE)</f>
        <v>6.10</v>
      </c>
    </row>
    <row r="228" spans="1:7">
      <c r="A228" s="3">
        <v>17</v>
      </c>
      <c r="B228" s="3">
        <v>227</v>
      </c>
      <c r="C228" t="s">
        <v>15</v>
      </c>
      <c r="D228" t="str">
        <f>VLOOKUP($A228,'По порядку'!$A$2:$E$414,3,FALSE)</f>
        <v>upapada-</v>
      </c>
      <c r="E228" t="str">
        <f>VLOOKUP($A228,'По порядку'!$A$2:$E$414,4,FALSE)</f>
        <v>tatpuruṣa</v>
      </c>
      <c r="F228" t="str">
        <f>VLOOKUP($A228,'По порядку'!$A$2:$E$414,5,FALSE)</f>
        <v>1.7</v>
      </c>
    </row>
    <row r="229" spans="1:7">
      <c r="A229" s="3">
        <v>306</v>
      </c>
      <c r="B229" s="3">
        <v>228</v>
      </c>
      <c r="C229" t="s">
        <v>253</v>
      </c>
      <c r="D229" t="str">
        <f>VLOOKUP($A229,'По порядку'!$A$2:$E$414,3,FALSE)</f>
        <v>ṣaṣṭhī-</v>
      </c>
      <c r="E229" t="str">
        <f>VLOOKUP($A229,'По порядку'!$A$2:$E$414,4,FALSE)</f>
        <v>tatpuruṣa</v>
      </c>
      <c r="F229" t="str">
        <f>VLOOKUP($A229,'По порядку'!$A$2:$E$414,5,FALSE)</f>
        <v>6.25</v>
      </c>
    </row>
    <row r="230" spans="1:7">
      <c r="A230" s="3">
        <v>309</v>
      </c>
      <c r="B230" s="3">
        <v>229</v>
      </c>
      <c r="C230" t="s">
        <v>253</v>
      </c>
      <c r="D230" t="str">
        <f>VLOOKUP($A230,'По порядку'!$A$2:$E$414,3,FALSE)</f>
        <v>ṣaṣṭhī-</v>
      </c>
      <c r="E230" t="str">
        <f>VLOOKUP($A230,'По порядку'!$A$2:$E$414,4,FALSE)</f>
        <v>tatpuruṣa</v>
      </c>
      <c r="F230" t="str">
        <f>VLOOKUP($A230,'По порядку'!$A$2:$E$414,5,FALSE)</f>
        <v>6.27</v>
      </c>
      <c r="G230" t="b">
        <v>1</v>
      </c>
    </row>
    <row r="231" spans="1:7">
      <c r="A231" s="3">
        <v>308</v>
      </c>
      <c r="B231" s="3">
        <v>230</v>
      </c>
      <c r="C231" t="s">
        <v>255</v>
      </c>
      <c r="D231" t="str">
        <f>VLOOKUP($A231,'По порядку'!$A$2:$E$414,3,FALSE)</f>
        <v>ṣaṣṭhī-</v>
      </c>
      <c r="E231" t="str">
        <f>VLOOKUP($A231,'По порядку'!$A$2:$E$414,4,FALSE)</f>
        <v>tatpuruṣa</v>
      </c>
      <c r="F231" t="str">
        <f>VLOOKUP($A231,'По порядку'!$A$2:$E$414,5,FALSE)</f>
        <v>6.27</v>
      </c>
    </row>
    <row r="232" spans="1:7">
      <c r="A232" s="3">
        <v>305</v>
      </c>
      <c r="B232" s="3">
        <v>231</v>
      </c>
      <c r="C232" t="s">
        <v>252</v>
      </c>
      <c r="D232" t="str">
        <f>VLOOKUP($A232,'По порядку'!$A$2:$E$414,3,FALSE)</f>
        <v>ṣaṣṭhī-</v>
      </c>
      <c r="E232" t="str">
        <f>VLOOKUP($A232,'По порядку'!$A$2:$E$414,4,FALSE)</f>
        <v>tatpuruṣa</v>
      </c>
      <c r="F232" t="str">
        <f>VLOOKUP($A232,'По порядку'!$A$2:$E$414,5,FALSE)</f>
        <v>6.25</v>
      </c>
    </row>
    <row r="233" spans="1:7">
      <c r="A233" s="3">
        <v>263</v>
      </c>
      <c r="B233" s="3">
        <v>232</v>
      </c>
      <c r="C233" t="s">
        <v>221</v>
      </c>
      <c r="D233" t="str">
        <f>VLOOKUP($A233,'По порядку'!$A$2:$E$414,3,FALSE)</f>
        <v>tṛtīyā-</v>
      </c>
      <c r="E233" t="str">
        <f>VLOOKUP($A233,'По порядку'!$A$2:$E$414,4,FALSE)</f>
        <v>tatpuruṣa</v>
      </c>
      <c r="F233" t="str">
        <f>VLOOKUP($A233,'По порядку'!$A$2:$E$414,5,FALSE)</f>
        <v>6.4</v>
      </c>
    </row>
    <row r="234" spans="1:7">
      <c r="A234" s="3">
        <v>270</v>
      </c>
      <c r="B234" s="3">
        <v>233</v>
      </c>
      <c r="C234" t="s">
        <v>227</v>
      </c>
      <c r="D234" t="str">
        <f>VLOOKUP($A234,'По порядку'!$A$2:$E$414,3,FALSE)</f>
        <v xml:space="preserve">itaretara </v>
      </c>
      <c r="E234" t="str">
        <f>VLOOKUP($A234,'По порядку'!$A$2:$E$414,4,FALSE)</f>
        <v>dvandva</v>
      </c>
      <c r="F234" t="str">
        <f>VLOOKUP($A234,'По порядку'!$A$2:$E$414,5,FALSE)</f>
        <v>6.6</v>
      </c>
    </row>
    <row r="235" spans="1:7">
      <c r="A235" s="3">
        <v>288</v>
      </c>
      <c r="B235" s="3">
        <v>234</v>
      </c>
      <c r="C235" t="s">
        <v>243</v>
      </c>
      <c r="D235" t="str">
        <f>VLOOKUP($A235,'По порядку'!$A$2:$E$414,3,FALSE)</f>
        <v xml:space="preserve">samānādhikaraṇa </v>
      </c>
      <c r="E235" t="str">
        <f>VLOOKUP($A235,'По порядку'!$A$2:$E$414,4,FALSE)</f>
        <v>bahuvrīhi</v>
      </c>
      <c r="F235" t="str">
        <f>VLOOKUP($A235,'По порядку'!$A$2:$E$414,5,FALSE)</f>
        <v>6.14</v>
      </c>
    </row>
    <row r="236" spans="1:7">
      <c r="A236" s="3">
        <v>210</v>
      </c>
      <c r="B236" s="3">
        <v>235</v>
      </c>
      <c r="C236" t="s">
        <v>144</v>
      </c>
      <c r="D236" t="str">
        <f>VLOOKUP($A236,'По порядку'!$A$2:$E$414,3,FALSE)</f>
        <v>ṣaṣṭhī-</v>
      </c>
      <c r="E236" t="str">
        <f>VLOOKUP($A236,'По порядку'!$A$2:$E$414,4,FALSE)</f>
        <v>tatpuruṣa</v>
      </c>
      <c r="F236" t="str">
        <f>VLOOKUP($A236,'По порядку'!$A$2:$E$414,5,FALSE)</f>
        <v>4.8</v>
      </c>
    </row>
    <row r="237" spans="1:7">
      <c r="A237" s="3">
        <v>162</v>
      </c>
      <c r="B237" s="3">
        <v>236</v>
      </c>
      <c r="C237" t="s">
        <v>144</v>
      </c>
      <c r="D237" t="str">
        <f>VLOOKUP($A237,'По порядку'!$A$2:$E$414,3,FALSE)</f>
        <v>ṣaṣṭhī-</v>
      </c>
      <c r="E237" t="str">
        <f>VLOOKUP($A237,'По порядку'!$A$2:$E$414,4,FALSE)</f>
        <v>tatpuruṣa</v>
      </c>
      <c r="F237" t="str">
        <f>VLOOKUP($A237,'По порядку'!$A$2:$E$414,5,FALSE)</f>
        <v>3.17</v>
      </c>
      <c r="G237" t="b">
        <v>1</v>
      </c>
    </row>
    <row r="238" spans="1:7">
      <c r="A238" s="3">
        <v>99</v>
      </c>
      <c r="B238" s="3">
        <v>237</v>
      </c>
      <c r="C238" t="s">
        <v>86</v>
      </c>
      <c r="D238" t="str">
        <f>VLOOKUP($A238,'По порядку'!$A$2:$E$414,3,FALSE)</f>
        <v>dvitīyā-</v>
      </c>
      <c r="E238" t="str">
        <f>VLOOKUP($A238,'По порядку'!$A$2:$E$414,4,FALSE)</f>
        <v>tatpuruṣa</v>
      </c>
      <c r="F238" t="str">
        <f>VLOOKUP($A238,'По порядку'!$A$2:$E$414,5,FALSE)</f>
        <v>2.4</v>
      </c>
    </row>
    <row r="239" spans="1:7">
      <c r="A239" s="3">
        <v>273</v>
      </c>
      <c r="B239" s="3">
        <v>238</v>
      </c>
      <c r="C239" t="s">
        <v>171</v>
      </c>
      <c r="D239" t="str">
        <f>VLOOKUP($A239,'По порядку'!$A$2:$E$414,3,FALSE)</f>
        <v xml:space="preserve">itaretara </v>
      </c>
      <c r="E239" t="str">
        <f>VLOOKUP($A239,'По порядку'!$A$2:$E$414,4,FALSE)</f>
        <v>dvandva</v>
      </c>
      <c r="F239" t="str">
        <f>VLOOKUP($A239,'По порядку'!$A$2:$E$414,5,FALSE)</f>
        <v>6.7</v>
      </c>
    </row>
    <row r="240" spans="1:7">
      <c r="A240" s="3">
        <v>195</v>
      </c>
      <c r="B240" s="3">
        <v>239</v>
      </c>
      <c r="C240" t="s">
        <v>171</v>
      </c>
      <c r="D240" t="str">
        <f>VLOOKUP($A240,'По порядку'!$A$2:$E$414,3,FALSE)</f>
        <v xml:space="preserve">itaretara </v>
      </c>
      <c r="E240" t="str">
        <f>VLOOKUP($A240,'По порядку'!$A$2:$E$414,4,FALSE)</f>
        <v>dvandva</v>
      </c>
      <c r="F240" t="str">
        <f>VLOOKUP($A240,'По порядку'!$A$2:$E$414,5,FALSE)</f>
        <v>4.28</v>
      </c>
      <c r="G240" t="b">
        <v>1</v>
      </c>
    </row>
    <row r="241" spans="1:6">
      <c r="A241" s="3">
        <v>205</v>
      </c>
      <c r="B241" s="3">
        <v>240</v>
      </c>
      <c r="C241" t="s">
        <v>179</v>
      </c>
      <c r="D241" t="str">
        <f>VLOOKUP($A241,'По порядку'!$A$2:$E$414,3,FALSE)</f>
        <v>tṛtīyā-</v>
      </c>
      <c r="E241" t="str">
        <f>VLOOKUP($A241,'По порядку'!$A$2:$E$414,4,FALSE)</f>
        <v>tatpuruṣa</v>
      </c>
      <c r="F241" t="str">
        <f>VLOOKUP($A241,'По порядку'!$A$2:$E$414,5,FALSE)</f>
        <v>4.7</v>
      </c>
    </row>
    <row r="242" spans="1:6">
      <c r="A242" s="3">
        <v>385</v>
      </c>
      <c r="B242" s="3">
        <v>241</v>
      </c>
      <c r="C242" t="s">
        <v>324</v>
      </c>
      <c r="D242" t="str">
        <f>VLOOKUP($A242,'По порядку'!$A$2:$E$414,3,FALSE)</f>
        <v>ṣaṣṭhī-</v>
      </c>
      <c r="E242" t="str">
        <f>VLOOKUP($A242,'По порядку'!$A$2:$E$414,4,FALSE)</f>
        <v>tatpuruṣa</v>
      </c>
      <c r="F242" t="str">
        <f>VLOOKUP($A242,'По порядку'!$A$2:$E$414,5,FALSE)</f>
        <v>6.64</v>
      </c>
    </row>
    <row r="243" spans="1:6">
      <c r="A243" s="3">
        <v>76</v>
      </c>
      <c r="B243" s="3">
        <v>242</v>
      </c>
      <c r="C243" t="s">
        <v>68</v>
      </c>
      <c r="D243" t="str">
        <f>VLOOKUP($A243,'По порядку'!$A$2:$E$414,3,FALSE)</f>
        <v>samānādhikaraṇa-</v>
      </c>
      <c r="E243" t="str">
        <f>VLOOKUP($A243,'По порядку'!$A$2:$E$414,4,FALSE)</f>
        <v>bahuvrīhi</v>
      </c>
      <c r="F243" t="str">
        <f>VLOOKUP($A243,'По порядку'!$A$2:$E$414,5,FALSE)</f>
        <v>1.37</v>
      </c>
    </row>
    <row r="244" spans="1:6">
      <c r="A244" s="3">
        <v>400</v>
      </c>
      <c r="B244" s="3">
        <v>243</v>
      </c>
      <c r="C244" t="s">
        <v>338</v>
      </c>
      <c r="D244" t="str">
        <f>VLOOKUP($A244,'По порядку'!$A$2:$E$414,3,FALSE)</f>
        <v>tṛtīyā-</v>
      </c>
      <c r="E244" t="str">
        <f>VLOOKUP($A244,'По порядку'!$A$2:$E$414,4,FALSE)</f>
        <v>tatpuruṣa</v>
      </c>
      <c r="F244" t="str">
        <f>VLOOKUP($A244,'По порядку'!$A$2:$E$414,5,FALSE)</f>
        <v>7.1</v>
      </c>
    </row>
    <row r="245" spans="1:6">
      <c r="A245" s="3">
        <v>36</v>
      </c>
      <c r="B245" s="3">
        <v>244</v>
      </c>
      <c r="C245" t="s">
        <v>32</v>
      </c>
      <c r="D245" t="str">
        <f>VLOOKUP($A245,'По порядку'!$A$2:$E$414,3,FALSE)</f>
        <v>ṣaṣṭhī-</v>
      </c>
      <c r="E245" t="str">
        <f>VLOOKUP($A245,'По порядку'!$A$2:$E$414,4,FALSE)</f>
        <v>tatpuruṣa</v>
      </c>
      <c r="F245" t="str">
        <f>VLOOKUP($A245,'По порядку'!$A$2:$E$414,5,FALSE)</f>
        <v>1.17</v>
      </c>
    </row>
    <row r="246" spans="1:6">
      <c r="A246" s="3">
        <v>284</v>
      </c>
      <c r="B246" s="3">
        <v>245</v>
      </c>
      <c r="C246" t="s">
        <v>239</v>
      </c>
      <c r="D246" t="str">
        <f>VLOOKUP($A246,'По порядку'!$A$2:$E$414,3,FALSE)</f>
        <v>tṛtīyā-</v>
      </c>
      <c r="E246" t="str">
        <f>VLOOKUP($A246,'По порядку'!$A$2:$E$414,4,FALSE)</f>
        <v>tatpuruṣa</v>
      </c>
      <c r="F246" t="str">
        <f>VLOOKUP($A246,'По порядку'!$A$2:$E$414,5,FALSE)</f>
        <v>6.12</v>
      </c>
    </row>
    <row r="247" spans="1:6">
      <c r="A247" s="3">
        <v>279</v>
      </c>
      <c r="B247" s="3">
        <v>246</v>
      </c>
      <c r="C247" t="s">
        <v>235</v>
      </c>
      <c r="D247" t="str">
        <f>VLOOKUP($A247,'По порядку'!$A$2:$E$414,3,FALSE)</f>
        <v>tṛtīyā-</v>
      </c>
      <c r="E247" t="str">
        <f>VLOOKUP($A247,'По порядку'!$A$2:$E$414,4,FALSE)</f>
        <v>tatpuruṣa</v>
      </c>
      <c r="F247" t="str">
        <f>VLOOKUP($A247,'По порядку'!$A$2:$E$414,5,FALSE)</f>
        <v>6.10</v>
      </c>
    </row>
    <row r="248" spans="1:6">
      <c r="A248" s="3">
        <v>303</v>
      </c>
      <c r="B248" s="3">
        <v>247</v>
      </c>
      <c r="C248" t="s">
        <v>567</v>
      </c>
      <c r="D248" t="str">
        <f>VLOOKUP($A248,'По порядку'!$A$2:$E$414,3,FALSE)</f>
        <v>ṣaṣṭhī-</v>
      </c>
      <c r="E248" t="str">
        <f>VLOOKUP($A248,'По порядку'!$A$2:$E$414,4,FALSE)</f>
        <v>tatpuruṣa</v>
      </c>
      <c r="F248" t="str">
        <f>VLOOKUP($A248,'По порядку'!$A$2:$E$414,5,FALSE)</f>
        <v>6.24</v>
      </c>
    </row>
    <row r="249" spans="1:6">
      <c r="A249" s="3">
        <v>289</v>
      </c>
      <c r="B249" s="3">
        <v>248</v>
      </c>
      <c r="C249" t="s">
        <v>244</v>
      </c>
      <c r="D249" t="str">
        <f>VLOOKUP($A249,'По порядку'!$A$2:$E$414,3,FALSE)</f>
        <v>tṛtīyā-</v>
      </c>
      <c r="E249" t="str">
        <f>VLOOKUP($A249,'По порядку'!$A$2:$E$414,4,FALSE)</f>
        <v>tatpuruṣa</v>
      </c>
      <c r="F249" t="str">
        <f>VLOOKUP($A249,'По порядку'!$A$2:$E$414,5,FALSE)</f>
        <v>6.15</v>
      </c>
    </row>
    <row r="250" spans="1:6">
      <c r="A250" s="3">
        <v>84</v>
      </c>
      <c r="B250" s="3">
        <v>249</v>
      </c>
      <c r="C250" t="s">
        <v>73</v>
      </c>
      <c r="D250" t="str">
        <f>VLOOKUP($A250,'По порядку'!$A$2:$E$414,3,FALSE)</f>
        <v>saptamī-</v>
      </c>
      <c r="E250" t="str">
        <f>VLOOKUP($A250,'По порядку'!$A$2:$E$414,4,FALSE)</f>
        <v>tatpuruṣa</v>
      </c>
      <c r="F250" t="str">
        <f>VLOOKUP($A250,'По порядку'!$A$2:$E$414,5,FALSE)</f>
        <v>1.39</v>
      </c>
    </row>
    <row r="251" spans="1:6">
      <c r="A251" s="3">
        <v>140</v>
      </c>
      <c r="B251" s="3">
        <v>250</v>
      </c>
      <c r="C251" t="s">
        <v>124</v>
      </c>
      <c r="D251" t="str">
        <f>VLOOKUP($A251,'По порядку'!$A$2:$E$414,3,FALSE)</f>
        <v>tṛtīyā-</v>
      </c>
      <c r="E251" t="str">
        <f>VLOOKUP($A251,'По порядку'!$A$2:$E$414,4,FALSE)</f>
        <v>tatpuruṣa</v>
      </c>
      <c r="F251" t="str">
        <f>VLOOKUP($A251,'По порядку'!$A$2:$E$414,5,FALSE)</f>
        <v>3.6</v>
      </c>
    </row>
    <row r="252" spans="1:6">
      <c r="A252" s="3">
        <v>54</v>
      </c>
      <c r="B252" s="3">
        <v>251</v>
      </c>
      <c r="C252" t="s">
        <v>48</v>
      </c>
      <c r="D252" t="str">
        <f>VLOOKUP($A252,'По порядку'!$A$2:$E$414,3,FALSE)</f>
        <v>itaretara-</v>
      </c>
      <c r="E252" t="str">
        <f>VLOOKUP($A252,'По порядку'!$A$2:$E$414,4,FALSE)</f>
        <v>dvandva</v>
      </c>
      <c r="F252" t="str">
        <f>VLOOKUP($A252,'По порядку'!$A$2:$E$414,5,FALSE)</f>
        <v>1.27</v>
      </c>
    </row>
    <row r="253" spans="1:6">
      <c r="A253" s="3">
        <v>217</v>
      </c>
      <c r="B253" s="3">
        <v>252</v>
      </c>
      <c r="C253" t="s">
        <v>187</v>
      </c>
      <c r="D253" t="str">
        <f>VLOOKUP($A253,'По порядку'!$A$2:$E$414,3,FALSE)</f>
        <v>tṛtīyā-</v>
      </c>
      <c r="E253" t="str">
        <f>VLOOKUP($A253,'По порядку'!$A$2:$E$414,4,FALSE)</f>
        <v>tatpuruṣa</v>
      </c>
      <c r="F253" t="str">
        <f>VLOOKUP($A253,'По порядку'!$A$2:$E$414,5,FALSE)</f>
        <v>4.13</v>
      </c>
    </row>
    <row r="254" spans="1:6">
      <c r="A254" s="3">
        <v>395</v>
      </c>
      <c r="B254" s="3">
        <v>253</v>
      </c>
      <c r="C254" t="s">
        <v>333</v>
      </c>
      <c r="D254" t="str">
        <f>VLOOKUP($A254,'По порядку'!$A$2:$E$414,3,FALSE)</f>
        <v>ṣaṣṭhī-</v>
      </c>
      <c r="E254" t="str">
        <f>VLOOKUP($A254,'По порядку'!$A$2:$E$414,4,FALSE)</f>
        <v>tatpuruṣa</v>
      </c>
      <c r="F254" t="str">
        <f>VLOOKUP($A254,'По порядку'!$A$2:$E$414,5,FALSE)</f>
        <v>6.67</v>
      </c>
    </row>
    <row r="255" spans="1:6">
      <c r="A255" s="3">
        <v>154</v>
      </c>
      <c r="B255" s="3">
        <v>254</v>
      </c>
      <c r="C255" t="s">
        <v>138</v>
      </c>
      <c r="D255" t="str">
        <f>VLOOKUP($A255,'По порядку'!$A$2:$E$414,3,FALSE)</f>
        <v>samānādhikaraṇa-</v>
      </c>
      <c r="E255" t="str">
        <f>VLOOKUP($A255,'По порядку'!$A$2:$E$414,4,FALSE)</f>
        <v>bahuvrīhi</v>
      </c>
      <c r="F255" t="str">
        <f>VLOOKUP($A255,'По порядку'!$A$2:$E$414,5,FALSE)</f>
        <v>3.11</v>
      </c>
    </row>
    <row r="256" spans="1:6">
      <c r="A256" s="3">
        <v>237</v>
      </c>
      <c r="B256" s="3">
        <v>255</v>
      </c>
      <c r="C256" t="s">
        <v>202</v>
      </c>
      <c r="D256" t="str">
        <f>VLOOKUP($A256,'По порядку'!$A$2:$E$414,3,FALSE)</f>
        <v>ṣaṣṭhī-</v>
      </c>
      <c r="E256" t="str">
        <f>VLOOKUP($A256,'По порядку'!$A$2:$E$414,4,FALSE)</f>
        <v>tatpuruṣa</v>
      </c>
      <c r="F256" t="str">
        <f>VLOOKUP($A256,'По порядку'!$A$2:$E$414,5,FALSE)</f>
        <v>5.3</v>
      </c>
    </row>
    <row r="257" spans="1:7">
      <c r="A257" s="3">
        <v>259</v>
      </c>
      <c r="B257" s="3">
        <v>256</v>
      </c>
      <c r="C257" t="s">
        <v>217</v>
      </c>
      <c r="D257" t="str">
        <f>VLOOKUP($A257,'По порядку'!$A$2:$E$414,3,FALSE)</f>
        <v>ṣaṣṭhī-</v>
      </c>
      <c r="E257" t="str">
        <f>VLOOKUP($A257,'По порядку'!$A$2:$E$414,4,FALSE)</f>
        <v>tatpuruṣa</v>
      </c>
      <c r="F257" t="str">
        <f>VLOOKUP($A257,'По порядку'!$A$2:$E$414,5,FALSE)</f>
        <v>6.2</v>
      </c>
    </row>
    <row r="258" spans="1:7">
      <c r="A258" s="3">
        <v>16</v>
      </c>
      <c r="B258" s="3">
        <v>257</v>
      </c>
      <c r="C258" t="s">
        <v>14</v>
      </c>
      <c r="D258" t="str">
        <f>VLOOKUP($A258,'По порядку'!$A$2:$E$414,3,FALSE)</f>
        <v xml:space="preserve">viśeṣaṇapūrvapadaḥ </v>
      </c>
      <c r="E258" t="str">
        <f>VLOOKUP($A258,'По порядку'!$A$2:$E$414,4,FALSE)</f>
        <v>karmadhāraya</v>
      </c>
      <c r="F258" t="str">
        <f>VLOOKUP($A258,'По порядку'!$A$2:$E$414,5,FALSE)</f>
        <v>1.6</v>
      </c>
    </row>
    <row r="259" spans="1:7">
      <c r="A259" s="3">
        <v>393</v>
      </c>
      <c r="B259" s="3">
        <v>258</v>
      </c>
      <c r="C259" t="s">
        <v>331</v>
      </c>
      <c r="D259" t="str">
        <f>VLOOKUP($A259,'По порядку'!$A$2:$E$414,3,FALSE)</f>
        <v>caturthī-</v>
      </c>
      <c r="E259" t="str">
        <f>VLOOKUP($A259,'По порядку'!$A$2:$E$414,4,FALSE)</f>
        <v>tatpuruṣa</v>
      </c>
      <c r="F259" t="str">
        <f>VLOOKUP($A259,'По порядку'!$A$2:$E$414,5,FALSE)</f>
        <v>6.65</v>
      </c>
    </row>
    <row r="260" spans="1:7">
      <c r="A260" s="3">
        <v>392</v>
      </c>
      <c r="B260" s="3">
        <v>259</v>
      </c>
      <c r="C260" t="s">
        <v>330</v>
      </c>
      <c r="D260" t="str">
        <f>VLOOKUP($A260,'По порядку'!$A$2:$E$414,3,FALSE)</f>
        <v>saptamī-</v>
      </c>
      <c r="E260" t="str">
        <f>VLOOKUP($A260,'По порядку'!$A$2:$E$414,4,FALSE)</f>
        <v>tatpuruṣa</v>
      </c>
      <c r="F260" t="str">
        <f>VLOOKUP($A260,'По порядку'!$A$2:$E$414,5,FALSE)</f>
        <v>6.65</v>
      </c>
    </row>
    <row r="261" spans="1:7">
      <c r="A261" s="3">
        <v>343</v>
      </c>
      <c r="B261" s="3">
        <v>260</v>
      </c>
      <c r="C261" t="s">
        <v>286</v>
      </c>
      <c r="D261" t="str">
        <f>VLOOKUP($A261,'По порядку'!$A$2:$E$414,3,FALSE)</f>
        <v>ṣaṣṭhī-</v>
      </c>
      <c r="E261" t="str">
        <f>VLOOKUP($A261,'По порядку'!$A$2:$E$414,4,FALSE)</f>
        <v>tatpuruṣa</v>
      </c>
      <c r="F261" t="str">
        <f>VLOOKUP($A261,'По порядку'!$A$2:$E$414,5,FALSE)</f>
        <v>6.45</v>
      </c>
    </row>
    <row r="262" spans="1:7">
      <c r="A262" s="3">
        <v>67</v>
      </c>
      <c r="B262" s="3">
        <v>261</v>
      </c>
      <c r="C262" t="s">
        <v>60</v>
      </c>
      <c r="D262" t="str">
        <f>VLOOKUP($A262,'По порядку'!$A$2:$E$414,3,FALSE)</f>
        <v>ṣaṣṭhī-</v>
      </c>
      <c r="E262" t="str">
        <f>VLOOKUP($A262,'По порядку'!$A$2:$E$414,4,FALSE)</f>
        <v>tatpuruṣa</v>
      </c>
      <c r="F262" t="str">
        <f>VLOOKUP($A262,'По порядку'!$A$2:$E$414,5,FALSE)</f>
        <v>1.32</v>
      </c>
    </row>
    <row r="263" spans="1:7">
      <c r="A263" s="3">
        <v>66</v>
      </c>
      <c r="B263" s="3">
        <v>262</v>
      </c>
      <c r="C263" t="s">
        <v>59</v>
      </c>
      <c r="D263" t="str">
        <f>VLOOKUP($A263,'По порядку'!$A$2:$E$414,3,FALSE)</f>
        <v>samānādhikaraṇa-</v>
      </c>
      <c r="E263" t="str">
        <f>VLOOKUP($A263,'По порядку'!$A$2:$E$414,4,FALSE)</f>
        <v>bahuvrīhi</v>
      </c>
      <c r="F263" t="str">
        <f>VLOOKUP($A263,'По порядку'!$A$2:$E$414,5,FALSE)</f>
        <v>1.32</v>
      </c>
    </row>
    <row r="264" spans="1:7">
      <c r="A264" s="3">
        <v>330</v>
      </c>
      <c r="B264" s="3">
        <v>263</v>
      </c>
      <c r="C264" t="s">
        <v>276</v>
      </c>
      <c r="D264" t="str">
        <f>VLOOKUP($A264,'По порядку'!$A$2:$E$414,3,FALSE)</f>
        <v xml:space="preserve">samānādhikaraṇa </v>
      </c>
      <c r="E264" t="str">
        <f>VLOOKUP($A264,'По порядку'!$A$2:$E$414,4,FALSE)</f>
        <v>bahuvrīhi</v>
      </c>
      <c r="F264" t="str">
        <f>VLOOKUP($A264,'По порядку'!$A$2:$E$414,5,FALSE)</f>
        <v>6.38</v>
      </c>
    </row>
    <row r="265" spans="1:7">
      <c r="A265" s="3">
        <v>98</v>
      </c>
      <c r="B265" s="3">
        <v>264</v>
      </c>
      <c r="C265" t="s">
        <v>85</v>
      </c>
      <c r="D265" t="str">
        <f>VLOOKUP($A265,'По порядку'!$A$2:$E$414,3,FALSE)</f>
        <v>saptamī-</v>
      </c>
      <c r="E265" t="str">
        <f>VLOOKUP($A265,'По порядку'!$A$2:$E$414,4,FALSE)</f>
        <v>tatpuruṣa</v>
      </c>
      <c r="F265" t="str">
        <f>VLOOKUP($A265,'По порядку'!$A$2:$E$414,5,FALSE)</f>
        <v>2.4</v>
      </c>
    </row>
    <row r="266" spans="1:7">
      <c r="A266" s="3">
        <v>102</v>
      </c>
      <c r="B266" s="3">
        <v>265</v>
      </c>
      <c r="C266" t="s">
        <v>85</v>
      </c>
      <c r="D266" t="str">
        <f>VLOOKUP($A266,'По порядку'!$A$2:$E$414,3,FALSE)</f>
        <v>saptamī-</v>
      </c>
      <c r="E266" t="str">
        <f>VLOOKUP($A266,'По порядку'!$A$2:$E$414,4,FALSE)</f>
        <v>tatpuruṣa</v>
      </c>
      <c r="F266" t="str">
        <f>VLOOKUP($A266,'По порядку'!$A$2:$E$414,5,FALSE)</f>
        <v>2.5</v>
      </c>
      <c r="G266" t="b">
        <v>1</v>
      </c>
    </row>
    <row r="267" spans="1:7">
      <c r="A267" s="3">
        <v>407</v>
      </c>
      <c r="B267" s="3">
        <v>266</v>
      </c>
      <c r="C267" t="s">
        <v>345</v>
      </c>
      <c r="D267" t="str">
        <f>VLOOKUP($A267,'По порядку'!$A$2:$E$414,3,FALSE)</f>
        <v xml:space="preserve">samānādhikaraṇa </v>
      </c>
      <c r="E267" t="str">
        <f>VLOOKUP($A267,'По порядку'!$A$2:$E$414,4,FALSE)</f>
        <v>bahuvrīhi</v>
      </c>
      <c r="F267" t="str">
        <f>VLOOKUP($A267,'По порядку'!$A$2:$E$414,5,FALSE)</f>
        <v>7.6</v>
      </c>
    </row>
    <row r="268" spans="1:7">
      <c r="A268" s="3">
        <v>96</v>
      </c>
      <c r="B268" s="3">
        <v>267</v>
      </c>
      <c r="C268" t="s">
        <v>83</v>
      </c>
      <c r="D268" t="str">
        <f>VLOOKUP($A268,'По порядку'!$A$2:$E$414,3,FALSE)</f>
        <v>ṣaṣṭhī-</v>
      </c>
      <c r="E268" t="str">
        <f>VLOOKUP($A268,'По порядку'!$A$2:$E$414,4,FALSE)</f>
        <v>tatpuruṣa</v>
      </c>
      <c r="F268" t="str">
        <f>VLOOKUP($A268,'По порядку'!$A$2:$E$414,5,FALSE)</f>
        <v>2.3</v>
      </c>
    </row>
    <row r="269" spans="1:7">
      <c r="A269" s="3">
        <v>100</v>
      </c>
      <c r="B269" s="3">
        <v>268</v>
      </c>
      <c r="C269" t="s">
        <v>83</v>
      </c>
      <c r="D269" t="str">
        <f>VLOOKUP($A269,'По порядку'!$A$2:$E$414,3,FALSE)</f>
        <v>ṣaṣṭhī-</v>
      </c>
      <c r="E269" t="str">
        <f>VLOOKUP($A269,'По порядку'!$A$2:$E$414,4,FALSE)</f>
        <v>tatpuruṣa</v>
      </c>
      <c r="F269" t="str">
        <f>VLOOKUP($A269,'По порядку'!$A$2:$E$414,5,FALSE)</f>
        <v>2.4</v>
      </c>
      <c r="G269" t="b">
        <v>1</v>
      </c>
    </row>
    <row r="270" spans="1:7">
      <c r="A270" s="3">
        <v>64</v>
      </c>
      <c r="B270" s="3">
        <v>269</v>
      </c>
      <c r="C270" t="s">
        <v>57</v>
      </c>
      <c r="D270" t="str">
        <f>VLOOKUP($A270,'По порядку'!$A$2:$E$414,3,FALSE)</f>
        <v>ṣaṣṭhī-</v>
      </c>
      <c r="E270" t="str">
        <f>VLOOKUP($A270,'По порядку'!$A$2:$E$414,4,FALSE)</f>
        <v>tatpuruṣa</v>
      </c>
      <c r="F270" t="str">
        <f>VLOOKUP($A270,'По порядку'!$A$2:$E$414,5,FALSE)</f>
        <v>1.30</v>
      </c>
    </row>
    <row r="271" spans="1:7">
      <c r="A271" s="3">
        <v>374</v>
      </c>
      <c r="B271" s="3">
        <v>270</v>
      </c>
      <c r="C271" t="s">
        <v>313</v>
      </c>
      <c r="D271" t="str">
        <f>VLOOKUP($A271,'По порядку'!$A$2:$E$414,3,FALSE)</f>
        <v xml:space="preserve">samānādhikaraṇa </v>
      </c>
      <c r="E271" t="str">
        <f>VLOOKUP($A271,'По порядку'!$A$2:$E$414,4,FALSE)</f>
        <v>bahuvrīhi</v>
      </c>
      <c r="F271" t="str">
        <f>VLOOKUP($A271,'По порядку'!$A$2:$E$414,5,FALSE)</f>
        <v>6.60</v>
      </c>
    </row>
    <row r="272" spans="1:7">
      <c r="A272" s="3">
        <v>122</v>
      </c>
      <c r="B272" s="3">
        <v>271</v>
      </c>
      <c r="C272" t="s">
        <v>107</v>
      </c>
      <c r="D272" t="str">
        <f>VLOOKUP($A272,'По порядку'!$A$2:$E$414,3,FALSE)</f>
        <v>samānādhikaraṇa-</v>
      </c>
      <c r="E272" t="str">
        <f>VLOOKUP($A272,'По порядку'!$A$2:$E$414,4,FALSE)</f>
        <v>bahuvrīhi</v>
      </c>
      <c r="F272" t="str">
        <f>VLOOKUP($A272,'По порядку'!$A$2:$E$414,5,FALSE)</f>
        <v>2.16</v>
      </c>
    </row>
    <row r="273" spans="1:7">
      <c r="A273" s="3">
        <v>112</v>
      </c>
      <c r="B273" s="3">
        <v>272</v>
      </c>
      <c r="C273" t="s">
        <v>96</v>
      </c>
      <c r="D273" t="str">
        <f>VLOOKUP($A273,'По порядку'!$A$2:$E$414,3,FALSE)</f>
        <v>tṛtīyā-</v>
      </c>
      <c r="E273" t="str">
        <f>VLOOKUP($A273,'По порядку'!$A$2:$E$414,4,FALSE)</f>
        <v>tatpuruṣa</v>
      </c>
      <c r="F273" t="str">
        <f>VLOOKUP($A273,'По порядку'!$A$2:$E$414,5,FALSE)</f>
        <v>2.13</v>
      </c>
    </row>
    <row r="274" spans="1:7">
      <c r="A274" s="3">
        <v>126</v>
      </c>
      <c r="B274" s="3">
        <v>273</v>
      </c>
      <c r="C274" t="s">
        <v>110</v>
      </c>
      <c r="D274" t="str">
        <f>VLOOKUP($A274,'По порядку'!$A$2:$E$414,3,FALSE)</f>
        <v>upapada-</v>
      </c>
      <c r="E274" t="str">
        <f>VLOOKUP($A274,'По порядку'!$A$2:$E$414,4,FALSE)</f>
        <v>tatpuruṣa</v>
      </c>
      <c r="F274" t="str">
        <f>VLOOKUP($A274,'По порядку'!$A$2:$E$414,5,FALSE)</f>
        <v>2.18</v>
      </c>
    </row>
    <row r="275" spans="1:7">
      <c r="A275" s="3">
        <v>384</v>
      </c>
      <c r="B275" s="3">
        <v>274</v>
      </c>
      <c r="C275" t="s">
        <v>323</v>
      </c>
      <c r="D275" t="str">
        <f>VLOOKUP($A275,'По порядку'!$A$2:$E$414,3,FALSE)</f>
        <v>itaretara-</v>
      </c>
      <c r="E275" t="str">
        <f>VLOOKUP($A275,'По порядку'!$A$2:$E$414,4,FALSE)</f>
        <v>dvandva</v>
      </c>
      <c r="F275" t="str">
        <f>VLOOKUP($A275,'По порядку'!$A$2:$E$414,5,FALSE)</f>
        <v>6.63</v>
      </c>
    </row>
    <row r="276" spans="1:7">
      <c r="A276" s="3">
        <v>364</v>
      </c>
      <c r="B276" s="3">
        <v>275</v>
      </c>
      <c r="C276" t="s">
        <v>304</v>
      </c>
      <c r="D276" t="str">
        <f>VLOOKUP($A276,'По порядку'!$A$2:$E$414,3,FALSE)</f>
        <v>dvitīyā-</v>
      </c>
      <c r="E276" t="str">
        <f>VLOOKUP($A276,'По порядку'!$A$2:$E$414,4,FALSE)</f>
        <v>tatpuruṣa</v>
      </c>
      <c r="F276" t="str">
        <f>VLOOKUP($A276,'По порядку'!$A$2:$E$414,5,FALSE)</f>
        <v>6.55</v>
      </c>
    </row>
    <row r="277" spans="1:7">
      <c r="A277" s="3">
        <v>35</v>
      </c>
      <c r="B277" s="3">
        <v>276</v>
      </c>
      <c r="C277" t="s">
        <v>31</v>
      </c>
      <c r="D277" t="str">
        <f>VLOOKUP($A277,'По порядку'!$A$2:$E$414,3,FALSE)</f>
        <v xml:space="preserve">viśeṣaṇapūrvapadaḥ </v>
      </c>
      <c r="E277" t="str">
        <f>VLOOKUP($A277,'По порядку'!$A$2:$E$414,4,FALSE)</f>
        <v>karmadhāraya</v>
      </c>
      <c r="F277" t="str">
        <f>VLOOKUP($A277,'По порядку'!$A$2:$E$414,5,FALSE)</f>
        <v>1.17</v>
      </c>
    </row>
    <row r="278" spans="1:7">
      <c r="A278" s="3">
        <v>42</v>
      </c>
      <c r="B278" s="3">
        <v>277</v>
      </c>
      <c r="C278" t="s">
        <v>526</v>
      </c>
      <c r="D278" t="str">
        <f>VLOOKUP($A278,'По порядку'!$A$2:$E$414,3,FALSE)</f>
        <v>ṣaṣṭhī-</v>
      </c>
      <c r="E278" t="str">
        <f>VLOOKUP($A278,'По порядку'!$A$2:$E$414,4,FALSE)</f>
        <v>tatpuruṣa</v>
      </c>
      <c r="F278" t="str">
        <f>VLOOKUP($A278,'По порядку'!$A$2:$E$414,5,FALSE)</f>
        <v>1.21</v>
      </c>
    </row>
    <row r="279" spans="1:7">
      <c r="A279" s="3">
        <v>277</v>
      </c>
      <c r="B279" s="3">
        <v>278</v>
      </c>
      <c r="C279" t="s">
        <v>233</v>
      </c>
      <c r="D279" t="str">
        <f>VLOOKUP($A279,'По порядку'!$A$2:$E$414,3,FALSE)</f>
        <v>ṣaṣṭhī-</v>
      </c>
      <c r="E279" t="str">
        <f>VLOOKUP($A279,'По порядку'!$A$2:$E$414,4,FALSE)</f>
        <v>tatpuruṣa</v>
      </c>
      <c r="F279" t="str">
        <f>VLOOKUP($A279,'По порядку'!$A$2:$E$414,5,FALSE)</f>
        <v>6.9</v>
      </c>
    </row>
    <row r="280" spans="1:7">
      <c r="A280" s="3">
        <v>220</v>
      </c>
      <c r="B280" s="3">
        <v>279</v>
      </c>
      <c r="C280" t="s">
        <v>180</v>
      </c>
      <c r="D280" t="str">
        <f>VLOOKUP($A280,'По порядку'!$A$2:$E$414,3,FALSE)</f>
        <v>ṣaṣṭhī-</v>
      </c>
      <c r="E280" t="str">
        <f>VLOOKUP($A280,'По порядку'!$A$2:$E$414,4,FALSE)</f>
        <v>tatpuruṣa</v>
      </c>
      <c r="F280" t="str">
        <f>VLOOKUP($A280,'По порядку'!$A$2:$E$414,5,FALSE)</f>
        <v>4.14</v>
      </c>
    </row>
    <row r="281" spans="1:7">
      <c r="A281" s="3">
        <v>206</v>
      </c>
      <c r="B281" s="3">
        <v>280</v>
      </c>
      <c r="C281" t="s">
        <v>180</v>
      </c>
      <c r="D281" t="str">
        <f>VLOOKUP($A281,'По порядку'!$A$2:$E$414,3,FALSE)</f>
        <v>ṣaṣṭhī-</v>
      </c>
      <c r="E281" t="str">
        <f>VLOOKUP($A281,'По порядку'!$A$2:$E$414,4,FALSE)</f>
        <v>tatpuruṣa</v>
      </c>
      <c r="F281" t="str">
        <f>VLOOKUP($A281,'По порядку'!$A$2:$E$414,5,FALSE)</f>
        <v>4.7</v>
      </c>
      <c r="G281" t="b">
        <v>1</v>
      </c>
    </row>
    <row r="282" spans="1:7">
      <c r="A282" s="3">
        <v>131</v>
      </c>
      <c r="B282" s="3">
        <v>281</v>
      </c>
      <c r="C282" t="s">
        <v>115</v>
      </c>
      <c r="D282" t="str">
        <f>VLOOKUP($A282,'По порядку'!$A$2:$E$414,3,FALSE)</f>
        <v>tṛtīyā-</v>
      </c>
      <c r="E282" t="str">
        <f>VLOOKUP($A282,'По порядку'!$A$2:$E$414,4,FALSE)</f>
        <v>tatpuruṣa</v>
      </c>
      <c r="F282" t="str">
        <f>VLOOKUP($A282,'По порядку'!$A$2:$E$414,5,FALSE)</f>
        <v>3.1</v>
      </c>
    </row>
    <row r="283" spans="1:7">
      <c r="A283" s="3">
        <v>371</v>
      </c>
      <c r="B283" s="3">
        <v>282</v>
      </c>
      <c r="C283" t="s">
        <v>311</v>
      </c>
      <c r="D283" t="str">
        <f>VLOOKUP($A283,'По порядку'!$A$2:$E$414,3,FALSE)</f>
        <v>tṛtīyā-</v>
      </c>
      <c r="E283" t="str">
        <f>VLOOKUP($A283,'По порядку'!$A$2:$E$414,4,FALSE)</f>
        <v>tatpuruṣa</v>
      </c>
      <c r="F283" t="str">
        <f>VLOOKUP($A283,'По порядку'!$A$2:$E$414,5,FALSE)</f>
        <v>6.56</v>
      </c>
    </row>
    <row r="284" spans="1:7">
      <c r="A284" s="3">
        <v>58</v>
      </c>
      <c r="B284" s="3">
        <v>283</v>
      </c>
      <c r="C284" t="s">
        <v>52</v>
      </c>
      <c r="D284" t="str">
        <f>VLOOKUP($A284,'По порядку'!$A$2:$E$414,3,FALSE)</f>
        <v>ṣaṣṭhī-</v>
      </c>
      <c r="E284" t="str">
        <f>VLOOKUP($A284,'По порядку'!$A$2:$E$414,4,FALSE)</f>
        <v>tatpuruṣa</v>
      </c>
      <c r="F284" t="str">
        <f>VLOOKUP($A284,'По порядку'!$A$2:$E$414,5,FALSE)</f>
        <v>1.29</v>
      </c>
    </row>
    <row r="285" spans="1:7">
      <c r="A285" s="3">
        <v>28</v>
      </c>
      <c r="B285" s="3">
        <v>284</v>
      </c>
      <c r="C285" t="s">
        <v>26</v>
      </c>
      <c r="D285" t="str">
        <f>VLOOKUP($A285,'По порядку'!$A$2:$E$414,3,FALSE)</f>
        <v>samānādhikaraṇa-</v>
      </c>
      <c r="E285" t="str">
        <f>VLOOKUP($A285,'По порядку'!$A$2:$E$414,4,FALSE)</f>
        <v>bahuvrīhi</v>
      </c>
      <c r="F285" t="str">
        <f>VLOOKUP($A285,'По порядку'!$A$2:$E$414,5,FALSE)</f>
        <v>1.15</v>
      </c>
    </row>
    <row r="286" spans="1:7">
      <c r="A286" s="3">
        <v>12</v>
      </c>
      <c r="B286" s="3">
        <v>285</v>
      </c>
      <c r="C286" t="s">
        <v>552</v>
      </c>
      <c r="D286" t="str">
        <f>VLOOKUP($A286,'По порядку'!$A$2:$E$414,3,FALSE)</f>
        <v>ṣaṣṭhī-</v>
      </c>
      <c r="E286" t="str">
        <f>VLOOKUP($A286,'По порядку'!$A$2:$E$414,4,FALSE)</f>
        <v>tatpuruṣa</v>
      </c>
      <c r="F286" t="str">
        <f>VLOOKUP($A286,'По порядку'!$A$2:$E$414,5,FALSE)</f>
        <v>1.5</v>
      </c>
    </row>
    <row r="287" spans="1:7">
      <c r="A287" s="3">
        <v>320</v>
      </c>
      <c r="B287" s="3">
        <v>286</v>
      </c>
      <c r="C287" t="s">
        <v>266</v>
      </c>
      <c r="D287" t="str">
        <f>VLOOKUP($A287,'По порядку'!$A$2:$E$414,3,FALSE)</f>
        <v xml:space="preserve">samānādhikaraṇa </v>
      </c>
      <c r="E287" t="str">
        <f>VLOOKUP($A287,'По порядку'!$A$2:$E$414,4,FALSE)</f>
        <v>bahuvrīhi</v>
      </c>
      <c r="F287" t="str">
        <f>VLOOKUP($A287,'По порядку'!$A$2:$E$414,5,FALSE)</f>
        <v>6.31</v>
      </c>
    </row>
    <row r="288" spans="1:7">
      <c r="A288" s="3">
        <v>266</v>
      </c>
      <c r="B288" s="3">
        <v>287</v>
      </c>
      <c r="C288" t="s">
        <v>224</v>
      </c>
      <c r="D288" t="str">
        <f>VLOOKUP($A288,'По порядку'!$A$2:$E$414,3,FALSE)</f>
        <v>itaretara-</v>
      </c>
      <c r="E288" t="str">
        <f>VLOOKUP($A288,'По порядку'!$A$2:$E$414,4,FALSE)</f>
        <v>dvandva</v>
      </c>
      <c r="F288" t="str">
        <f>VLOOKUP($A288,'По порядку'!$A$2:$E$414,5,FALSE)</f>
        <v>6.4</v>
      </c>
    </row>
    <row r="289" spans="1:7">
      <c r="A289" s="3">
        <v>265</v>
      </c>
      <c r="B289" s="3">
        <v>288</v>
      </c>
      <c r="C289" t="s">
        <v>223</v>
      </c>
      <c r="D289" t="str">
        <f>VLOOKUP($A289,'По порядку'!$A$2:$E$414,3,FALSE)</f>
        <v xml:space="preserve">vyadhikaraṇa </v>
      </c>
      <c r="E289" t="str">
        <f>VLOOKUP($A289,'По порядку'!$A$2:$E$414,4,FALSE)</f>
        <v>bahuvrīhi</v>
      </c>
      <c r="F289" t="str">
        <f>VLOOKUP($A289,'По порядку'!$A$2:$E$414,5,FALSE)</f>
        <v>6.4</v>
      </c>
    </row>
    <row r="290" spans="1:7">
      <c r="A290" s="3">
        <v>63</v>
      </c>
      <c r="B290" s="3">
        <v>289</v>
      </c>
      <c r="C290" t="s">
        <v>56</v>
      </c>
      <c r="D290" t="str">
        <f>VLOOKUP($A290,'По порядку'!$A$2:$E$414,3,FALSE)</f>
        <v>upapada-</v>
      </c>
      <c r="E290" t="str">
        <f>VLOOKUP($A290,'По порядку'!$A$2:$E$414,4,FALSE)</f>
        <v>tatpuruṣa</v>
      </c>
      <c r="F290" t="str">
        <f>VLOOKUP($A290,'По порядку'!$A$2:$E$414,5,FALSE)</f>
        <v>1.29</v>
      </c>
    </row>
    <row r="291" spans="1:7">
      <c r="A291" s="3">
        <v>62</v>
      </c>
      <c r="B291" s="3">
        <v>290</v>
      </c>
      <c r="C291" t="s">
        <v>55</v>
      </c>
      <c r="D291" t="str">
        <f>VLOOKUP($A291,'По порядку'!$A$2:$E$414,3,FALSE)</f>
        <v>samānādhikaraṇa-</v>
      </c>
      <c r="E291" t="str">
        <f>VLOOKUP($A291,'По порядку'!$A$2:$E$414,4,FALSE)</f>
        <v>bahuvrīhi</v>
      </c>
      <c r="F291" t="str">
        <f>VLOOKUP($A291,'По порядку'!$A$2:$E$414,5,FALSE)</f>
        <v>1.29</v>
      </c>
    </row>
    <row r="292" spans="1:7">
      <c r="A292" s="3">
        <v>249</v>
      </c>
      <c r="B292" s="3">
        <v>291</v>
      </c>
      <c r="C292" t="s">
        <v>211</v>
      </c>
      <c r="D292" t="str">
        <f>VLOOKUP($A292,'По порядку'!$A$2:$E$414,3,FALSE)</f>
        <v>upapada-</v>
      </c>
      <c r="E292" t="str">
        <f>VLOOKUP($A292,'По порядку'!$A$2:$E$414,4,FALSE)</f>
        <v>tatpuruṣa</v>
      </c>
      <c r="F292" t="str">
        <f>VLOOKUP($A292,'По порядку'!$A$2:$E$414,5,FALSE)</f>
        <v>5.12</v>
      </c>
    </row>
    <row r="293" spans="1:7">
      <c r="A293" s="3">
        <v>90</v>
      </c>
      <c r="B293" s="3">
        <v>292</v>
      </c>
      <c r="C293" t="s">
        <v>78</v>
      </c>
      <c r="D293" t="str">
        <f>VLOOKUP($A293,'По порядку'!$A$2:$E$414,3,FALSE)</f>
        <v>upapada-</v>
      </c>
      <c r="E293" t="str">
        <f>VLOOKUP($A293,'По порядку'!$A$2:$E$414,4,FALSE)</f>
        <v>tatpuruṣa</v>
      </c>
      <c r="F293" t="str">
        <f>VLOOKUP($A293,'По порядку'!$A$2:$E$414,5,FALSE)</f>
        <v>2.1</v>
      </c>
    </row>
    <row r="294" spans="1:7">
      <c r="A294" s="3">
        <v>192</v>
      </c>
      <c r="B294" s="3">
        <v>293</v>
      </c>
      <c r="C294" t="s">
        <v>168</v>
      </c>
      <c r="D294" t="str">
        <f>VLOOKUP($A294,'По порядку'!$A$2:$E$414,3,FALSE)</f>
        <v>ṣaṣṭhī-</v>
      </c>
      <c r="E294" t="str">
        <f>VLOOKUP($A294,'По порядку'!$A$2:$E$414,4,FALSE)</f>
        <v>tatpuruṣa</v>
      </c>
      <c r="F294" t="str">
        <f>VLOOKUP($A294,'По порядку'!$A$2:$E$414,5,FALSE)</f>
        <v>3.28</v>
      </c>
    </row>
    <row r="295" spans="1:7">
      <c r="A295" s="3">
        <v>134</v>
      </c>
      <c r="B295" s="3">
        <v>294</v>
      </c>
      <c r="C295" t="s">
        <v>118</v>
      </c>
      <c r="D295" t="str">
        <f>VLOOKUP($A295,'По порядку'!$A$2:$E$414,3,FALSE)</f>
        <v>ṣaṣṭhī-</v>
      </c>
      <c r="E295" t="str">
        <f>VLOOKUP($A295,'По порядку'!$A$2:$E$414,4,FALSE)</f>
        <v>tatpuruṣa</v>
      </c>
      <c r="F295" t="str">
        <f>VLOOKUP($A295,'По порядку'!$A$2:$E$414,5,FALSE)</f>
        <v>3.2</v>
      </c>
    </row>
    <row r="296" spans="1:7">
      <c r="A296" s="3">
        <v>315</v>
      </c>
      <c r="B296" s="3">
        <v>295</v>
      </c>
      <c r="C296" t="s">
        <v>261</v>
      </c>
      <c r="D296" t="str">
        <f>VLOOKUP($A296,'По порядку'!$A$2:$E$414,3,FALSE)</f>
        <v>ṣaṣṭhī-</v>
      </c>
      <c r="E296" t="str">
        <f>VLOOKUP($A296,'По порядку'!$A$2:$E$414,4,FALSE)</f>
        <v>tatpuruṣa</v>
      </c>
      <c r="F296" t="str">
        <f>VLOOKUP($A296,'По порядку'!$A$2:$E$414,5,FALSE)</f>
        <v>6.29</v>
      </c>
    </row>
    <row r="297" spans="1:7">
      <c r="A297" s="3">
        <v>73</v>
      </c>
      <c r="B297" s="3">
        <v>296</v>
      </c>
      <c r="C297" t="s">
        <v>65</v>
      </c>
      <c r="D297" t="str">
        <f>VLOOKUP($A297,'По порядку'!$A$2:$E$414,3,FALSE)</f>
        <v>pañcamī-</v>
      </c>
      <c r="E297" t="str">
        <f>VLOOKUP($A297,'По порядку'!$A$2:$E$414,4,FALSE)</f>
        <v>tatpuruṣa</v>
      </c>
      <c r="F297" t="str">
        <f>VLOOKUP($A297,'По порядку'!$A$2:$E$414,5,FALSE)</f>
        <v>1.35</v>
      </c>
    </row>
    <row r="298" spans="1:7">
      <c r="A298" s="3">
        <v>142</v>
      </c>
      <c r="B298" s="3">
        <v>297</v>
      </c>
      <c r="C298" t="s">
        <v>126</v>
      </c>
      <c r="D298" t="str">
        <f>VLOOKUP($A298,'По порядку'!$A$2:$E$414,3,FALSE)</f>
        <v>samānādhikaraṇa-</v>
      </c>
      <c r="E298" t="str">
        <f>VLOOKUP($A298,'По порядку'!$A$2:$E$414,4,FALSE)</f>
        <v>bahuvrīhi</v>
      </c>
      <c r="F298" t="str">
        <f>VLOOKUP($A298,'По порядку'!$A$2:$E$414,5,FALSE)</f>
        <v>3.7</v>
      </c>
    </row>
    <row r="299" spans="1:7">
      <c r="A299" s="3">
        <v>155</v>
      </c>
      <c r="B299" s="3">
        <v>298</v>
      </c>
      <c r="C299" t="s">
        <v>126</v>
      </c>
      <c r="D299" t="str">
        <f>VLOOKUP($A299,'По порядку'!$A$2:$E$414,3,FALSE)</f>
        <v>samānādhikaraṇa-</v>
      </c>
      <c r="E299" t="str">
        <f>VLOOKUP($A299,'По порядку'!$A$2:$E$414,4,FALSE)</f>
        <v>bahuvrīhi</v>
      </c>
      <c r="F299" t="str">
        <f>VLOOKUP($A299,'По порядку'!$A$2:$E$414,5,FALSE)</f>
        <v>3.12</v>
      </c>
      <c r="G299" t="b">
        <v>1</v>
      </c>
    </row>
    <row r="300" spans="1:7">
      <c r="A300" s="3">
        <v>318</v>
      </c>
      <c r="B300" s="3">
        <v>299</v>
      </c>
      <c r="C300" t="s">
        <v>264</v>
      </c>
      <c r="D300" t="str">
        <f>VLOOKUP($A300,'По порядку'!$A$2:$E$414,3,FALSE)</f>
        <v>tṛtīyā-</v>
      </c>
      <c r="E300" t="str">
        <f>VLOOKUP($A300,'По порядку'!$A$2:$E$414,4,FALSE)</f>
        <v>tatpuruṣa</v>
      </c>
      <c r="F300" t="str">
        <f>VLOOKUP($A300,'По порядку'!$A$2:$E$414,5,FALSE)</f>
        <v>6.31</v>
      </c>
    </row>
    <row r="301" spans="1:7">
      <c r="A301" s="3">
        <v>108</v>
      </c>
      <c r="B301" s="3">
        <v>300</v>
      </c>
      <c r="C301" t="s">
        <v>92</v>
      </c>
      <c r="D301" t="str">
        <f>VLOOKUP($A301,'По порядку'!$A$2:$E$414,3,FALSE)</f>
        <v>tṛtīyā-</v>
      </c>
      <c r="E301" t="str">
        <f>VLOOKUP($A301,'По порядку'!$A$2:$E$414,4,FALSE)</f>
        <v>tatpuruṣa</v>
      </c>
      <c r="F301" t="str">
        <f>VLOOKUP($A301,'По порядку'!$A$2:$E$414,5,FALSE)</f>
        <v>2.11</v>
      </c>
    </row>
    <row r="302" spans="1:7">
      <c r="A302" s="3">
        <v>156</v>
      </c>
      <c r="B302" s="3">
        <v>301</v>
      </c>
      <c r="C302" t="s">
        <v>139</v>
      </c>
      <c r="D302" t="str">
        <f>VLOOKUP($A302,'По порядку'!$A$2:$E$414,3,FALSE)</f>
        <v>tṛtīyā-</v>
      </c>
      <c r="E302" t="str">
        <f>VLOOKUP($A302,'По порядку'!$A$2:$E$414,4,FALSE)</f>
        <v>tatpuruṣa</v>
      </c>
      <c r="F302" t="str">
        <f>VLOOKUP($A302,'По порядку'!$A$2:$E$414,5,FALSE)</f>
        <v>3.12</v>
      </c>
    </row>
    <row r="303" spans="1:7">
      <c r="A303" s="3">
        <v>184</v>
      </c>
      <c r="B303" s="3">
        <v>302</v>
      </c>
      <c r="C303" t="s">
        <v>132</v>
      </c>
      <c r="D303" t="str">
        <f>VLOOKUP($A303,'По порядку'!$A$2:$E$414,3,FALSE)</f>
        <v>itaretara-</v>
      </c>
      <c r="E303" t="str">
        <f>VLOOKUP($A303,'По порядку'!$A$2:$E$414,4,FALSE)</f>
        <v>dvandva</v>
      </c>
      <c r="F303" t="str">
        <f>VLOOKUP($A303,'По порядку'!$A$2:$E$414,5,FALSE)</f>
        <v>3.25</v>
      </c>
    </row>
    <row r="304" spans="1:7">
      <c r="A304" s="3">
        <v>148</v>
      </c>
      <c r="B304" s="3">
        <v>303</v>
      </c>
      <c r="C304" t="s">
        <v>132</v>
      </c>
      <c r="D304" t="str">
        <f>VLOOKUP($A304,'По порядку'!$A$2:$E$414,3,FALSE)</f>
        <v>itaretara-</v>
      </c>
      <c r="E304" t="str">
        <f>VLOOKUP($A304,'По порядку'!$A$2:$E$414,4,FALSE)</f>
        <v>dvandva</v>
      </c>
      <c r="F304" t="str">
        <f>VLOOKUP($A304,'По порядку'!$A$2:$E$414,5,FALSE)</f>
        <v>3.9</v>
      </c>
      <c r="G304" t="b">
        <v>1</v>
      </c>
    </row>
    <row r="305" spans="1:7">
      <c r="A305" s="3">
        <v>104</v>
      </c>
      <c r="B305" s="3">
        <v>304</v>
      </c>
      <c r="C305" t="s">
        <v>89</v>
      </c>
      <c r="D305" t="str">
        <f>VLOOKUP($A305,'По порядку'!$A$2:$E$414,3,FALSE)</f>
        <v xml:space="preserve">viśeṣaṇapūrvapadaḥ </v>
      </c>
      <c r="E305" t="str">
        <f>VLOOKUP($A305,'По порядку'!$A$2:$E$414,4,FALSE)</f>
        <v>karmadhāraya</v>
      </c>
      <c r="F305" t="str">
        <f>VLOOKUP($A305,'По порядку'!$A$2:$E$414,5,FALSE)</f>
        <v>2.8</v>
      </c>
    </row>
    <row r="306" spans="1:7">
      <c r="A306" s="3">
        <v>1</v>
      </c>
      <c r="B306" s="3">
        <v>305</v>
      </c>
      <c r="C306" t="s">
        <v>0</v>
      </c>
      <c r="D306" t="str">
        <f>VLOOKUP($A306,'По порядку'!$A$2:$E$414,3,FALSE)</f>
        <v>ṣaṣṭhī-</v>
      </c>
      <c r="E306" t="str">
        <f>VLOOKUP($A306,'По порядку'!$A$2:$E$414,4,FALSE)</f>
        <v>tatpuruṣa</v>
      </c>
      <c r="F306" t="str">
        <f>VLOOKUP($A306,'По порядку'!$A$2:$E$414,5,FALSE)</f>
        <v>1.1</v>
      </c>
    </row>
    <row r="307" spans="1:7">
      <c r="A307" s="3">
        <v>6</v>
      </c>
      <c r="B307" s="3">
        <v>306</v>
      </c>
      <c r="C307" t="s">
        <v>5</v>
      </c>
      <c r="D307" t="str">
        <f>VLOOKUP($A307,'По порядку'!$A$2:$E$414,3,FALSE)</f>
        <v xml:space="preserve">viśeṣaṇapūrvapadaḥ </v>
      </c>
      <c r="E307" t="str">
        <f>VLOOKUP($A307,'По порядку'!$A$2:$E$414,4,FALSE)</f>
        <v>karmadhāraya</v>
      </c>
      <c r="F307" t="str">
        <f>VLOOKUP($A307,'По порядку'!$A$2:$E$414,5,FALSE)</f>
        <v>1.1</v>
      </c>
    </row>
    <row r="308" spans="1:7">
      <c r="A308" s="3">
        <v>88</v>
      </c>
      <c r="B308" s="3">
        <v>307</v>
      </c>
      <c r="C308" t="s">
        <v>5</v>
      </c>
      <c r="D308" t="str">
        <f>VLOOKUP($A308,'По порядку'!$A$2:$E$414,3,FALSE)</f>
        <v xml:space="preserve">viśeṣaṇapūrvapadaḥ </v>
      </c>
      <c r="E308" t="str">
        <f>VLOOKUP($A308,'По порядку'!$A$2:$E$414,4,FALSE)</f>
        <v>karmadhāraya</v>
      </c>
      <c r="F308" t="str">
        <f>VLOOKUP($A308,'По порядку'!$A$2:$E$414,5,FALSE)</f>
        <v>1.40</v>
      </c>
      <c r="G308" t="b">
        <v>1</v>
      </c>
    </row>
    <row r="309" spans="1:7">
      <c r="A309" s="3">
        <v>390</v>
      </c>
      <c r="B309" s="3">
        <v>308</v>
      </c>
      <c r="C309" t="s">
        <v>5</v>
      </c>
      <c r="D309" t="str">
        <f>VLOOKUP($A309,'По порядку'!$A$2:$E$414,3,FALSE)</f>
        <v xml:space="preserve">viśeṣaṇapūrvapadaḥ </v>
      </c>
      <c r="E309" t="str">
        <f>VLOOKUP($A309,'По порядку'!$A$2:$E$414,4,FALSE)</f>
        <v>karmadhāraya</v>
      </c>
      <c r="F309" t="str">
        <f>VLOOKUP($A309,'По порядку'!$A$2:$E$414,5,FALSE)</f>
        <v>6.64</v>
      </c>
      <c r="G309" t="b">
        <v>1</v>
      </c>
    </row>
    <row r="310" spans="1:7">
      <c r="A310" s="3">
        <v>411</v>
      </c>
      <c r="B310" s="3">
        <v>309</v>
      </c>
      <c r="C310" t="s">
        <v>5</v>
      </c>
      <c r="D310" t="str">
        <f>VLOOKUP($A310,'По порядку'!$A$2:$E$414,3,FALSE)</f>
        <v xml:space="preserve">viśeṣaṇapūrvapadaḥ </v>
      </c>
      <c r="E310" t="str">
        <f>VLOOKUP($A310,'По порядку'!$A$2:$E$414,4,FALSE)</f>
        <v>karmadhāraya</v>
      </c>
      <c r="F310" t="str">
        <f>VLOOKUP($A310,'По порядку'!$A$2:$E$414,5,FALSE)</f>
        <v>7.8</v>
      </c>
      <c r="G310" t="b">
        <v>1</v>
      </c>
    </row>
    <row r="311" spans="1:7">
      <c r="A311" s="3">
        <v>389</v>
      </c>
      <c r="B311" s="3">
        <v>310</v>
      </c>
      <c r="C311" t="s">
        <v>328</v>
      </c>
      <c r="D311" t="str">
        <f>VLOOKUP($A311,'По порядку'!$A$2:$E$414,3,FALSE)</f>
        <v>ṣaṣṭhī-</v>
      </c>
      <c r="E311" t="str">
        <f>VLOOKUP($A311,'По порядку'!$A$2:$E$414,4,FALSE)</f>
        <v>tatpuruṣa</v>
      </c>
      <c r="F311" t="str">
        <f>VLOOKUP($A311,'По порядку'!$A$2:$E$414,5,FALSE)</f>
        <v>6.64</v>
      </c>
    </row>
    <row r="312" spans="1:7">
      <c r="A312" s="3">
        <v>388</v>
      </c>
      <c r="B312" s="3">
        <v>311</v>
      </c>
      <c r="C312" t="s">
        <v>327</v>
      </c>
      <c r="D312" t="str">
        <f>VLOOKUP($A312,'По порядку'!$A$2:$E$414,3,FALSE)</f>
        <v>tṛtīyā-</v>
      </c>
      <c r="E312" t="str">
        <f>VLOOKUP($A312,'По порядку'!$A$2:$E$414,4,FALSE)</f>
        <v>tatpuruṣa</v>
      </c>
      <c r="F312" t="str">
        <f>VLOOKUP($A312,'По порядку'!$A$2:$E$414,5,FALSE)</f>
        <v>6.64</v>
      </c>
    </row>
    <row r="313" spans="1:7">
      <c r="A313" s="3">
        <v>5</v>
      </c>
      <c r="B313" s="3">
        <v>312</v>
      </c>
      <c r="C313" t="s">
        <v>4</v>
      </c>
      <c r="D313" t="str">
        <f>VLOOKUP($A313,'По порядку'!$A$2:$E$414,3,FALSE)</f>
        <v>ṣaṣṭhī-</v>
      </c>
      <c r="E313" t="str">
        <f>VLOOKUP($A313,'По порядку'!$A$2:$E$414,4,FALSE)</f>
        <v>tatpuruṣa</v>
      </c>
      <c r="F313" t="str">
        <f>VLOOKUP($A313,'По порядку'!$A$2:$E$414,5,FALSE)</f>
        <v>1.1</v>
      </c>
    </row>
    <row r="314" spans="1:7">
      <c r="A314" s="3">
        <v>410</v>
      </c>
      <c r="B314" s="3">
        <v>313</v>
      </c>
      <c r="C314" t="s">
        <v>4</v>
      </c>
      <c r="D314" t="str">
        <f>VLOOKUP($A314,'По порядку'!$A$2:$E$414,3,FALSE)</f>
        <v>ṣaṣṭhī-</v>
      </c>
      <c r="E314" t="str">
        <f>VLOOKUP($A314,'По порядку'!$A$2:$E$414,4,FALSE)</f>
        <v>tatpuruṣa</v>
      </c>
      <c r="F314" t="str">
        <f>VLOOKUP($A314,'По порядку'!$A$2:$E$414,5,FALSE)</f>
        <v>7.8</v>
      </c>
      <c r="G314" t="b">
        <v>1</v>
      </c>
    </row>
    <row r="315" spans="1:7">
      <c r="A315" s="3">
        <v>87</v>
      </c>
      <c r="B315" s="3">
        <v>314</v>
      </c>
      <c r="C315" t="s">
        <v>76</v>
      </c>
      <c r="D315" t="str">
        <f>VLOOKUP($A315,'По порядку'!$A$2:$E$414,3,FALSE)</f>
        <v>ṣaṣṭhī-</v>
      </c>
      <c r="E315" t="str">
        <f>VLOOKUP($A315,'По порядку'!$A$2:$E$414,4,FALSE)</f>
        <v>tatpuruṣa</v>
      </c>
      <c r="F315" t="str">
        <f>VLOOKUP($A315,'По порядку'!$A$2:$E$414,5,FALSE)</f>
        <v>1.40</v>
      </c>
    </row>
    <row r="316" spans="1:7">
      <c r="A316" s="3">
        <v>4</v>
      </c>
      <c r="B316" s="3">
        <v>315</v>
      </c>
      <c r="C316" t="s">
        <v>3</v>
      </c>
      <c r="D316" t="str">
        <f>VLOOKUP($A316,'По порядку'!$A$2:$E$414,3,FALSE)</f>
        <v xml:space="preserve">viśeṣaṇapūrvapadaḥ </v>
      </c>
      <c r="E316" t="str">
        <f>VLOOKUP($A316,'По порядку'!$A$2:$E$414,4,FALSE)</f>
        <v>karmadhāraya</v>
      </c>
      <c r="F316" t="str">
        <f>VLOOKUP($A316,'По порядку'!$A$2:$E$414,5,FALSE)</f>
        <v>1.1</v>
      </c>
    </row>
    <row r="317" spans="1:7">
      <c r="A317" s="3">
        <v>3</v>
      </c>
      <c r="B317" s="3">
        <v>316</v>
      </c>
      <c r="C317" t="s">
        <v>2</v>
      </c>
      <c r="D317" t="str">
        <f>VLOOKUP($A317,'По порядку'!$A$2:$E$414,3,FALSE)</f>
        <v>tṛtīyā-</v>
      </c>
      <c r="E317" t="str">
        <f>VLOOKUP($A317,'По порядку'!$A$2:$E$414,4,FALSE)</f>
        <v>tatpuruṣa</v>
      </c>
      <c r="F317" t="str">
        <f>VLOOKUP($A317,'По порядку'!$A$2:$E$414,5,FALSE)</f>
        <v>1.1</v>
      </c>
    </row>
    <row r="318" spans="1:7">
      <c r="A318" s="3">
        <v>2</v>
      </c>
      <c r="B318" s="3">
        <v>317</v>
      </c>
      <c r="C318" t="s">
        <v>1</v>
      </c>
      <c r="D318" t="str">
        <f>VLOOKUP($A318,'По порядку'!$A$2:$E$414,3,FALSE)</f>
        <v>samānādhikaraṇa-</v>
      </c>
      <c r="E318" t="str">
        <f>VLOOKUP($A318,'По порядку'!$A$2:$E$414,4,FALSE)</f>
        <v>bahuvrīhi</v>
      </c>
      <c r="F318" t="str">
        <f>VLOOKUP($A318,'По порядку'!$A$2:$E$414,5,FALSE)</f>
        <v>1.1</v>
      </c>
    </row>
    <row r="319" spans="1:7">
      <c r="A319" s="3">
        <v>8</v>
      </c>
      <c r="B319" s="3">
        <v>318</v>
      </c>
      <c r="C319" t="s">
        <v>7</v>
      </c>
      <c r="D319" t="str">
        <f>VLOOKUP($A319,'По порядку'!$A$2:$E$414,3,FALSE)</f>
        <v xml:space="preserve">viśeṣaṇapūrvapadaḥ </v>
      </c>
      <c r="E319" t="str">
        <f>VLOOKUP($A319,'По порядку'!$A$2:$E$414,4,FALSE)</f>
        <v>karmadhāraya</v>
      </c>
      <c r="F319" t="str">
        <f>VLOOKUP($A319,'По порядку'!$A$2:$E$414,5,FALSE)</f>
        <v>1.1</v>
      </c>
    </row>
    <row r="320" spans="1:7">
      <c r="A320" s="3">
        <v>7</v>
      </c>
      <c r="B320" s="3">
        <v>319</v>
      </c>
      <c r="C320" t="s">
        <v>6</v>
      </c>
      <c r="D320" t="str">
        <f>VLOOKUP($A320,'По порядку'!$A$2:$E$414,3,FALSE)</f>
        <v>tṛtīyā-</v>
      </c>
      <c r="E320" t="str">
        <f>VLOOKUP($A320,'По порядку'!$A$2:$E$414,4,FALSE)</f>
        <v>tatpuruṣa</v>
      </c>
      <c r="F320" t="str">
        <f>VLOOKUP($A320,'По порядку'!$A$2:$E$414,5,FALSE)</f>
        <v>1.1</v>
      </c>
    </row>
    <row r="321" spans="1:6">
      <c r="A321" s="3">
        <v>116</v>
      </c>
      <c r="B321" s="3">
        <v>320</v>
      </c>
      <c r="C321" t="s">
        <v>100</v>
      </c>
      <c r="D321" t="str">
        <f>VLOOKUP($A321,'По порядку'!$A$2:$E$414,3,FALSE)</f>
        <v>samānādhikaraṇa-</v>
      </c>
      <c r="E321" t="str">
        <f>VLOOKUP($A321,'По порядку'!$A$2:$E$414,4,FALSE)</f>
        <v>bahuvrīhi</v>
      </c>
      <c r="F321" t="str">
        <f>VLOOKUP($A321,'По порядку'!$A$2:$E$414,5,FALSE)</f>
        <v>2.14</v>
      </c>
    </row>
    <row r="322" spans="1:6">
      <c r="A322" s="3">
        <v>52</v>
      </c>
      <c r="B322" s="3">
        <v>321</v>
      </c>
      <c r="C322" t="s">
        <v>46</v>
      </c>
      <c r="D322" t="str">
        <f>VLOOKUP($A322,'По порядку'!$A$2:$E$414,3,FALSE)</f>
        <v xml:space="preserve">viśeṣaṇapūrvapadaḥ </v>
      </c>
      <c r="E322" t="str">
        <f>VLOOKUP($A322,'По порядку'!$A$2:$E$414,4,FALSE)</f>
        <v>karmadhāraya</v>
      </c>
      <c r="F322" t="str">
        <f>VLOOKUP($A322,'По порядку'!$A$2:$E$414,5,FALSE)</f>
        <v>1.26</v>
      </c>
    </row>
    <row r="323" spans="1:6">
      <c r="A323" s="3">
        <v>51</v>
      </c>
      <c r="B323" s="3">
        <v>322</v>
      </c>
      <c r="C323" t="s">
        <v>45</v>
      </c>
      <c r="D323" t="str">
        <f>VLOOKUP($A323,'По порядку'!$A$2:$E$414,3,FALSE)</f>
        <v xml:space="preserve">upamānottarapadaḥ </v>
      </c>
      <c r="E323" t="str">
        <f>VLOOKUP($A323,'По порядку'!$A$2:$E$414,4,FALSE)</f>
        <v>karmadhāraya</v>
      </c>
      <c r="F323" t="str">
        <f>VLOOKUP($A323,'По порядку'!$A$2:$E$414,5,FALSE)</f>
        <v>1.26</v>
      </c>
    </row>
    <row r="324" spans="1:6">
      <c r="A324" s="3">
        <v>50</v>
      </c>
      <c r="B324" s="3">
        <v>323</v>
      </c>
      <c r="C324" t="s">
        <v>44</v>
      </c>
      <c r="D324" t="str">
        <f>VLOOKUP($A324,'По порядку'!$A$2:$E$414,3,FALSE)</f>
        <v>ṣaṣṭhī-</v>
      </c>
      <c r="E324" t="str">
        <f>VLOOKUP($A324,'По порядку'!$A$2:$E$414,4,FALSE)</f>
        <v>tatpuruṣa</v>
      </c>
      <c r="F324" t="str">
        <f>VLOOKUP($A324,'По порядку'!$A$2:$E$414,5,FALSE)</f>
        <v>1.26</v>
      </c>
    </row>
    <row r="325" spans="1:6">
      <c r="A325" s="3">
        <v>14</v>
      </c>
      <c r="B325" s="3">
        <v>324</v>
      </c>
      <c r="C325" t="s">
        <v>12</v>
      </c>
      <c r="D325" t="str">
        <f>VLOOKUP($A325,'По порядку'!$A$2:$E$414,3,FALSE)</f>
        <v xml:space="preserve">viśeṣaṇapūrvapadaḥ </v>
      </c>
      <c r="E325" t="str">
        <f>VLOOKUP($A325,'По порядку'!$A$2:$E$414,4,FALSE)</f>
        <v>karmadhāraya</v>
      </c>
      <c r="F325" t="str">
        <f>VLOOKUP($A325,'По порядку'!$A$2:$E$414,5,FALSE)</f>
        <v>1.5</v>
      </c>
    </row>
    <row r="326" spans="1:6">
      <c r="A326" s="3">
        <v>13</v>
      </c>
      <c r="B326" s="3">
        <v>325</v>
      </c>
      <c r="C326" t="s">
        <v>11</v>
      </c>
      <c r="D326" t="str">
        <f>VLOOKUP($A326,'По порядку'!$A$2:$E$414,3,FALSE)</f>
        <v>tṛtīyā-</v>
      </c>
      <c r="E326" t="str">
        <f>VLOOKUP($A326,'По порядку'!$A$2:$E$414,4,FALSE)</f>
        <v>tatpuruṣa</v>
      </c>
      <c r="F326" t="str">
        <f>VLOOKUP($A326,'По порядку'!$A$2:$E$414,5,FALSE)</f>
        <v>1.5</v>
      </c>
    </row>
    <row r="327" spans="1:6">
      <c r="A327" s="3">
        <v>97</v>
      </c>
      <c r="B327" s="3">
        <v>326</v>
      </c>
      <c r="C327" t="s">
        <v>84</v>
      </c>
      <c r="D327" t="str">
        <f>VLOOKUP($A327,'По порядку'!$A$2:$E$414,3,FALSE)</f>
        <v>samānādhikaraṇa-</v>
      </c>
      <c r="E327" t="str">
        <f>VLOOKUP($A327,'По порядку'!$A$2:$E$414,4,FALSE)</f>
        <v>bahuvrīhi</v>
      </c>
      <c r="F327" t="str">
        <f>VLOOKUP($A327,'По порядку'!$A$2:$E$414,5,FALSE)</f>
        <v>2.3</v>
      </c>
    </row>
    <row r="328" spans="1:6">
      <c r="A328" s="3">
        <v>355</v>
      </c>
      <c r="B328" s="3">
        <v>327</v>
      </c>
      <c r="C328" t="s">
        <v>296</v>
      </c>
      <c r="D328" t="str">
        <f>VLOOKUP($A328,'По порядку'!$A$2:$E$414,3,FALSE)</f>
        <v>tṛtīyā-</v>
      </c>
      <c r="E328" t="str">
        <f>VLOOKUP($A328,'По порядку'!$A$2:$E$414,4,FALSE)</f>
        <v>tatpuruṣa</v>
      </c>
      <c r="F328" t="str">
        <f>VLOOKUP($A328,'По порядку'!$A$2:$E$414,5,FALSE)</f>
        <v>6.51</v>
      </c>
    </row>
    <row r="329" spans="1:6">
      <c r="A329" s="3">
        <v>132</v>
      </c>
      <c r="B329" s="3">
        <v>328</v>
      </c>
      <c r="C329" t="s">
        <v>116</v>
      </c>
      <c r="D329" t="str">
        <f>VLOOKUP($A329,'По порядку'!$A$2:$E$414,3,FALSE)</f>
        <v>saha-</v>
      </c>
      <c r="E329" t="str">
        <f>VLOOKUP($A329,'По порядку'!$A$2:$E$414,4,FALSE)</f>
        <v>bahuvrīhi</v>
      </c>
      <c r="F329" t="str">
        <f>VLOOKUP($A329,'По порядку'!$A$2:$E$414,5,FALSE)</f>
        <v>3.1</v>
      </c>
    </row>
    <row r="330" spans="1:6">
      <c r="A330" s="3">
        <v>48</v>
      </c>
      <c r="B330" s="3">
        <v>329</v>
      </c>
      <c r="C330" t="s">
        <v>42</v>
      </c>
      <c r="D330" t="str">
        <f>VLOOKUP($A330,'По порядку'!$A$2:$E$414,3,FALSE)</f>
        <v xml:space="preserve">sahapūrvapado </v>
      </c>
      <c r="E330" t="str">
        <f>VLOOKUP($A330,'По порядку'!$A$2:$E$414,4,FALSE)</f>
        <v>bahuvrīhi</v>
      </c>
      <c r="F330" t="str">
        <f>VLOOKUP($A330,'По порядку'!$A$2:$E$414,5,FALSE)</f>
        <v>1.23</v>
      </c>
    </row>
    <row r="331" spans="1:6">
      <c r="A331" s="3">
        <v>295</v>
      </c>
      <c r="B331" s="3">
        <v>330</v>
      </c>
      <c r="C331" t="s">
        <v>246</v>
      </c>
      <c r="D331" t="str">
        <f>VLOOKUP($A331,'По порядку'!$A$2:$E$414,3,FALSE)</f>
        <v xml:space="preserve">samānādhikaraṇa </v>
      </c>
      <c r="E331" t="str">
        <f>VLOOKUP($A331,'По порядку'!$A$2:$E$414,4,FALSE)</f>
        <v>bahuvrīhi</v>
      </c>
      <c r="F331" t="str">
        <f>VLOOKUP($A331,'По порядку'!$A$2:$E$414,5,FALSE)</f>
        <v>6.18</v>
      </c>
    </row>
    <row r="332" spans="1:6">
      <c r="A332" s="3">
        <v>370</v>
      </c>
      <c r="B332" s="3">
        <v>331</v>
      </c>
      <c r="C332" t="s">
        <v>310</v>
      </c>
      <c r="D332" t="str">
        <f>VLOOKUP($A332,'По порядку'!$A$2:$E$414,3,FALSE)</f>
        <v>pañcamī-</v>
      </c>
      <c r="E332" t="str">
        <f>VLOOKUP($A332,'По порядку'!$A$2:$E$414,4,FALSE)</f>
        <v>tatpuruṣa</v>
      </c>
      <c r="F332" t="str">
        <f>VLOOKUP($A332,'По порядку'!$A$2:$E$414,5,FALSE)</f>
        <v>6.56</v>
      </c>
    </row>
    <row r="333" spans="1:6">
      <c r="A333" s="3">
        <v>397</v>
      </c>
      <c r="B333" s="3">
        <v>332</v>
      </c>
      <c r="C333" t="s">
        <v>335</v>
      </c>
      <c r="D333" t="str">
        <f>VLOOKUP($A333,'По порядку'!$A$2:$E$414,3,FALSE)</f>
        <v xml:space="preserve">sahapūrvapado </v>
      </c>
      <c r="E333" t="str">
        <f>VLOOKUP($A333,'По порядку'!$A$2:$E$414,4,FALSE)</f>
        <v>bahuvrīhi</v>
      </c>
      <c r="F333" t="str">
        <f>VLOOKUP($A333,'По порядку'!$A$2:$E$414,5,FALSE)</f>
        <v>6.68</v>
      </c>
    </row>
    <row r="334" spans="1:6">
      <c r="A334" s="3">
        <v>307</v>
      </c>
      <c r="B334" s="3">
        <v>333</v>
      </c>
      <c r="C334" t="s">
        <v>254</v>
      </c>
      <c r="D334" t="str">
        <f>VLOOKUP($A334,'По порядку'!$A$2:$E$414,3,FALSE)</f>
        <v xml:space="preserve">sahapūrvapado </v>
      </c>
      <c r="E334" t="str">
        <f>VLOOKUP($A334,'По порядку'!$A$2:$E$414,4,FALSE)</f>
        <v>bahuvrīhi</v>
      </c>
      <c r="F334" t="str">
        <f>VLOOKUP($A334,'По порядку'!$A$2:$E$414,5,FALSE)</f>
        <v>6.26</v>
      </c>
    </row>
    <row r="335" spans="1:6">
      <c r="A335" s="3">
        <v>224</v>
      </c>
      <c r="B335" s="3">
        <v>334</v>
      </c>
      <c r="C335" t="s">
        <v>191</v>
      </c>
      <c r="D335" t="str">
        <f>VLOOKUP($A335,'По порядку'!$A$2:$E$414,3,FALSE)</f>
        <v>ṣaṣṭhī-</v>
      </c>
      <c r="E335" t="str">
        <f>VLOOKUP($A335,'По порядку'!$A$2:$E$414,4,FALSE)</f>
        <v>tatpuruṣa</v>
      </c>
      <c r="F335" t="str">
        <f>VLOOKUP($A335,'По порядку'!$A$2:$E$414,5,FALSE)</f>
        <v>4.18</v>
      </c>
    </row>
    <row r="336" spans="1:6">
      <c r="A336" s="3">
        <v>301</v>
      </c>
      <c r="B336" s="3">
        <v>335</v>
      </c>
      <c r="C336" t="s">
        <v>248</v>
      </c>
      <c r="D336" t="str">
        <f>VLOOKUP($A336,'По порядку'!$A$2:$E$414,3,FALSE)</f>
        <v>upapada-</v>
      </c>
      <c r="E336" t="str">
        <f>VLOOKUP($A336,'По порядку'!$A$2:$E$414,4,FALSE)</f>
        <v>tatpuruṣa</v>
      </c>
      <c r="F336" t="str">
        <f>VLOOKUP($A336,'По порядку'!$A$2:$E$414,5,FALSE)</f>
        <v>6.20</v>
      </c>
    </row>
    <row r="337" spans="1:7">
      <c r="A337" s="3">
        <v>298</v>
      </c>
      <c r="B337" s="3">
        <v>336</v>
      </c>
      <c r="C337" t="s">
        <v>248</v>
      </c>
      <c r="D337" t="str">
        <f>VLOOKUP($A337,'По порядку'!$A$2:$E$414,3,FALSE)</f>
        <v>upapada-</v>
      </c>
      <c r="E337" t="str">
        <f>VLOOKUP($A337,'По порядку'!$A$2:$E$414,4,FALSE)</f>
        <v>tatpuruṣa</v>
      </c>
      <c r="F337" t="str">
        <f>VLOOKUP($A337,'По порядку'!$A$2:$E$414,5,FALSE)</f>
        <v>6.19</v>
      </c>
      <c r="G337" t="b">
        <v>1</v>
      </c>
    </row>
    <row r="338" spans="1:7">
      <c r="A338" s="3">
        <v>208</v>
      </c>
      <c r="B338" s="3">
        <v>337</v>
      </c>
      <c r="C338" t="s">
        <v>181</v>
      </c>
      <c r="D338" t="str">
        <f>VLOOKUP($A338,'По порядку'!$A$2:$E$414,3,FALSE)</f>
        <v>samānādhikaraṇa-</v>
      </c>
      <c r="E338" t="str">
        <f>VLOOKUP($A338,'По порядку'!$A$2:$E$414,4,FALSE)</f>
        <v>bahuvrīhi</v>
      </c>
      <c r="F338" t="str">
        <f>VLOOKUP($A338,'По порядку'!$A$2:$E$414,5,FALSE)</f>
        <v>4.8</v>
      </c>
    </row>
    <row r="339" spans="1:7">
      <c r="A339" s="3">
        <v>408</v>
      </c>
      <c r="B339" s="3">
        <v>338</v>
      </c>
      <c r="C339" t="s">
        <v>346</v>
      </c>
      <c r="D339" t="str">
        <f>VLOOKUP($A339,'По порядку'!$A$2:$E$414,3,FALSE)</f>
        <v xml:space="preserve">viśeṣaṇapūrvapadaḥ </v>
      </c>
      <c r="E339" t="str">
        <f>VLOOKUP($A339,'По порядку'!$A$2:$E$414,4,FALSE)</f>
        <v>karmadhāraya</v>
      </c>
      <c r="F339" t="str">
        <f>VLOOKUP($A339,'По порядку'!$A$2:$E$414,5,FALSE)</f>
        <v>7.6</v>
      </c>
    </row>
    <row r="340" spans="1:7">
      <c r="A340" s="3">
        <v>86</v>
      </c>
      <c r="B340" s="3">
        <v>339</v>
      </c>
      <c r="C340" t="s">
        <v>75</v>
      </c>
      <c r="D340" t="str">
        <f>VLOOKUP($A340,'По порядку'!$A$2:$E$414,3,FALSE)</f>
        <v xml:space="preserve">viśeṣaṇapūrvapadaḥ </v>
      </c>
      <c r="E340" t="str">
        <f>VLOOKUP($A340,'По порядку'!$A$2:$E$414,4,FALSE)</f>
        <v>karmadhāraya</v>
      </c>
      <c r="F340" t="str">
        <f>VLOOKUP($A340,'По порядку'!$A$2:$E$414,5,FALSE)</f>
        <v>1.40</v>
      </c>
    </row>
    <row r="341" spans="1:7">
      <c r="A341" s="3">
        <v>85</v>
      </c>
      <c r="B341" s="3">
        <v>340</v>
      </c>
      <c r="C341" t="s">
        <v>74</v>
      </c>
      <c r="D341" t="str">
        <f>VLOOKUP($A341,'По порядку'!$A$2:$E$414,3,FALSE)</f>
        <v>ṣaṣṭhī-</v>
      </c>
      <c r="E341" t="str">
        <f>VLOOKUP($A341,'По порядку'!$A$2:$E$414,4,FALSE)</f>
        <v>tatpuruṣa</v>
      </c>
      <c r="F341" t="str">
        <f>VLOOKUP($A341,'По порядку'!$A$2:$E$414,5,FALSE)</f>
        <v>1.40</v>
      </c>
    </row>
    <row r="342" spans="1:7">
      <c r="A342" s="3">
        <v>351</v>
      </c>
      <c r="B342" s="3">
        <v>341</v>
      </c>
      <c r="C342" t="s">
        <v>293</v>
      </c>
      <c r="D342" t="str">
        <f>VLOOKUP($A342,'По порядку'!$A$2:$E$414,3,FALSE)</f>
        <v xml:space="preserve">viśeṣaṇapūrvapadaḥ </v>
      </c>
      <c r="E342" t="str">
        <f>VLOOKUP($A342,'По порядку'!$A$2:$E$414,4,FALSE)</f>
        <v>karmadhāraya</v>
      </c>
      <c r="F342" t="str">
        <f>VLOOKUP($A342,'По порядку'!$A$2:$E$414,5,FALSE)</f>
        <v>6.49</v>
      </c>
    </row>
    <row r="343" spans="1:7">
      <c r="A343" s="3">
        <v>350</v>
      </c>
      <c r="B343" s="3">
        <v>342</v>
      </c>
      <c r="C343" t="s">
        <v>568</v>
      </c>
      <c r="D343" t="str">
        <f>VLOOKUP($A343,'По порядку'!$A$2:$E$414,3,FALSE)</f>
        <v>ṣaṣṭhī-</v>
      </c>
      <c r="E343" t="str">
        <f>VLOOKUP($A343,'По порядку'!$A$2:$E$414,4,FALSE)</f>
        <v>tatpuruṣa</v>
      </c>
      <c r="F343" t="str">
        <f>VLOOKUP($A343,'По порядку'!$A$2:$E$414,5,FALSE)</f>
        <v>6.49</v>
      </c>
    </row>
    <row r="344" spans="1:7">
      <c r="A344" s="3">
        <v>209</v>
      </c>
      <c r="B344" s="3">
        <v>343</v>
      </c>
      <c r="C344" t="s">
        <v>182</v>
      </c>
      <c r="D344" t="str">
        <f>VLOOKUP($A344,'По порядку'!$A$2:$E$414,3,FALSE)</f>
        <v xml:space="preserve">viśeṣaṇapūrvapadaḥ </v>
      </c>
      <c r="E344" t="str">
        <f>VLOOKUP($A344,'По порядку'!$A$2:$E$414,4,FALSE)</f>
        <v>karmadhāraya</v>
      </c>
      <c r="F344" t="str">
        <f>VLOOKUP($A344,'По порядку'!$A$2:$E$414,5,FALSE)</f>
        <v>4.8</v>
      </c>
    </row>
    <row r="345" spans="1:7">
      <c r="A345" s="3">
        <v>193</v>
      </c>
      <c r="B345" s="3">
        <v>344</v>
      </c>
      <c r="C345" t="s">
        <v>169</v>
      </c>
      <c r="D345" t="str">
        <f>VLOOKUP($A345,'По порядку'!$A$2:$E$414,3,FALSE)</f>
        <v>saha-</v>
      </c>
      <c r="E345" t="str">
        <f>VLOOKUP($A345,'По порядку'!$A$2:$E$414,4,FALSE)</f>
        <v>bahuvrīhi</v>
      </c>
      <c r="F345" t="str">
        <f>VLOOKUP($A345,'По порядку'!$A$2:$E$414,5,FALSE)</f>
        <v>3.28</v>
      </c>
    </row>
    <row r="346" spans="1:7">
      <c r="A346" s="3">
        <v>335</v>
      </c>
      <c r="B346" s="3">
        <v>345</v>
      </c>
      <c r="C346" t="s">
        <v>280</v>
      </c>
      <c r="D346" t="str">
        <f>VLOOKUP($A346,'По порядку'!$A$2:$E$414,3,FALSE)</f>
        <v xml:space="preserve">sahapūrvapado </v>
      </c>
      <c r="E346" t="str">
        <f>VLOOKUP($A346,'По порядку'!$A$2:$E$414,4,FALSE)</f>
        <v>bahuvrīhi</v>
      </c>
      <c r="F346" t="str">
        <f>VLOOKUP($A346,'По порядку'!$A$2:$E$414,5,FALSE)</f>
        <v>6.41</v>
      </c>
    </row>
    <row r="347" spans="1:7">
      <c r="A347" s="3">
        <v>311</v>
      </c>
      <c r="B347" s="3">
        <v>346</v>
      </c>
      <c r="C347" t="s">
        <v>257</v>
      </c>
      <c r="D347" t="str">
        <f>VLOOKUP($A347,'По порядку'!$A$2:$E$414,3,FALSE)</f>
        <v xml:space="preserve">sahapūrvapado </v>
      </c>
      <c r="E347" t="str">
        <f>VLOOKUP($A347,'По порядку'!$A$2:$E$414,4,FALSE)</f>
        <v>bahuvrīhi</v>
      </c>
      <c r="F347" t="str">
        <f>VLOOKUP($A347,'По порядку'!$A$2:$E$414,5,FALSE)</f>
        <v>6.28</v>
      </c>
    </row>
    <row r="348" spans="1:7">
      <c r="A348" s="3">
        <v>404</v>
      </c>
      <c r="B348" s="3">
        <v>347</v>
      </c>
      <c r="C348" t="s">
        <v>342</v>
      </c>
      <c r="D348" t="str">
        <f>VLOOKUP($A348,'По порядку'!$A$2:$E$414,3,FALSE)</f>
        <v xml:space="preserve">sahapūrvapado </v>
      </c>
      <c r="E348" t="str">
        <f>VLOOKUP($A348,'По порядку'!$A$2:$E$414,4,FALSE)</f>
        <v>bahuvrīhi</v>
      </c>
      <c r="F348" t="str">
        <f>VLOOKUP($A348,'По порядку'!$A$2:$E$414,5,FALSE)</f>
        <v>7.4</v>
      </c>
    </row>
    <row r="349" spans="1:7">
      <c r="A349" s="3">
        <v>368</v>
      </c>
      <c r="B349" s="3">
        <v>348</v>
      </c>
      <c r="C349" t="s">
        <v>308</v>
      </c>
      <c r="D349" t="str">
        <f>VLOOKUP($A349,'По порядку'!$A$2:$E$414,3,FALSE)</f>
        <v xml:space="preserve">sahapūrvapado </v>
      </c>
      <c r="E349" t="str">
        <f>VLOOKUP($A349,'По порядку'!$A$2:$E$414,4,FALSE)</f>
        <v>bahuvrīhi</v>
      </c>
      <c r="F349" t="str">
        <f>VLOOKUP($A349,'По порядку'!$A$2:$E$414,5,FALSE)</f>
        <v>6.56</v>
      </c>
    </row>
    <row r="350" spans="1:7">
      <c r="A350" s="3">
        <v>69</v>
      </c>
      <c r="B350" s="3">
        <v>349</v>
      </c>
      <c r="C350" t="s">
        <v>62</v>
      </c>
      <c r="D350" t="str">
        <f>VLOOKUP($A350,'По порядку'!$A$2:$E$414,3,FALSE)</f>
        <v xml:space="preserve">sahapūrvapado </v>
      </c>
      <c r="E350" t="str">
        <f>VLOOKUP($A350,'По порядку'!$A$2:$E$414,4,FALSE)</f>
        <v>bahuvrīhi</v>
      </c>
      <c r="F350" t="str">
        <f>VLOOKUP($A350,'По порядку'!$A$2:$E$414,5,FALSE)</f>
        <v>1.33</v>
      </c>
    </row>
    <row r="351" spans="1:7">
      <c r="A351" s="3">
        <v>153</v>
      </c>
      <c r="B351" s="3">
        <v>350</v>
      </c>
      <c r="C351" t="s">
        <v>137</v>
      </c>
      <c r="D351" t="str">
        <f>VLOOKUP($A351,'По порядку'!$A$2:$E$414,3,FALSE)</f>
        <v xml:space="preserve">sahapūrvapado </v>
      </c>
      <c r="E351" t="str">
        <f>VLOOKUP($A351,'По порядку'!$A$2:$E$414,4,FALSE)</f>
        <v>bahuvrīhi</v>
      </c>
      <c r="F351" t="str">
        <f>VLOOKUP($A351,'По порядку'!$A$2:$E$414,5,FALSE)</f>
        <v>3.11</v>
      </c>
    </row>
    <row r="352" spans="1:7">
      <c r="A352" s="3">
        <v>71</v>
      </c>
      <c r="B352" s="3">
        <v>351</v>
      </c>
      <c r="C352" t="s">
        <v>58</v>
      </c>
      <c r="D352" t="str">
        <f>VLOOKUP($A352,'По порядку'!$A$2:$E$414,3,FALSE)</f>
        <v xml:space="preserve">sahapūrvapado </v>
      </c>
      <c r="E352" t="str">
        <f>VLOOKUP($A352,'По порядку'!$A$2:$E$414,4,FALSE)</f>
        <v>bahuvrīhi</v>
      </c>
      <c r="F352" t="str">
        <f>VLOOKUP($A352,'По порядку'!$A$2:$E$414,5,FALSE)</f>
        <v>1.35</v>
      </c>
    </row>
    <row r="353" spans="1:7">
      <c r="A353" s="3">
        <v>81</v>
      </c>
      <c r="B353" s="3">
        <v>352</v>
      </c>
      <c r="C353" t="s">
        <v>58</v>
      </c>
      <c r="D353" t="str">
        <f>VLOOKUP($A353,'По порядку'!$A$2:$E$414,3,FALSE)</f>
        <v xml:space="preserve">sahapūrvapado </v>
      </c>
      <c r="E353" t="str">
        <f>VLOOKUP($A353,'По порядку'!$A$2:$E$414,4,FALSE)</f>
        <v>bahuvrīhi</v>
      </c>
      <c r="F353" t="str">
        <f>VLOOKUP($A353,'По порядку'!$A$2:$E$414,5,FALSE)</f>
        <v>1.38</v>
      </c>
      <c r="G353" t="b">
        <v>1</v>
      </c>
    </row>
    <row r="354" spans="1:7">
      <c r="A354" s="3">
        <v>65</v>
      </c>
      <c r="B354" s="3">
        <v>353</v>
      </c>
      <c r="C354" t="s">
        <v>58</v>
      </c>
      <c r="D354" t="str">
        <f>VLOOKUP($A354,'По порядку'!$A$2:$E$414,3,FALSE)</f>
        <v xml:space="preserve">sahapūrvapado </v>
      </c>
      <c r="E354" t="str">
        <f>VLOOKUP($A354,'По порядку'!$A$2:$E$414,4,FALSE)</f>
        <v>bahuvrīhi</v>
      </c>
      <c r="F354" t="str">
        <f>VLOOKUP($A354,'По порядку'!$A$2:$E$414,5,FALSE)</f>
        <v>1.32</v>
      </c>
      <c r="G354" t="b">
        <v>1</v>
      </c>
    </row>
    <row r="355" spans="1:7">
      <c r="A355" s="3">
        <v>180</v>
      </c>
      <c r="B355" s="3">
        <v>354</v>
      </c>
      <c r="C355" t="s">
        <v>58</v>
      </c>
      <c r="D355" t="str">
        <f>VLOOKUP($A355,'По порядку'!$A$2:$E$414,3,FALSE)</f>
        <v>saha-</v>
      </c>
      <c r="E355" t="str">
        <f>VLOOKUP($A355,'По порядку'!$A$2:$E$414,4,FALSE)</f>
        <v>bahuvrīhi</v>
      </c>
      <c r="F355" t="str">
        <f>VLOOKUP($A355,'По порядку'!$A$2:$E$414,5,FALSE)</f>
        <v>3.24</v>
      </c>
      <c r="G355" t="b">
        <v>1</v>
      </c>
    </row>
    <row r="356" spans="1:7">
      <c r="A356" s="3">
        <v>176</v>
      </c>
      <c r="B356" s="3">
        <v>355</v>
      </c>
      <c r="C356" t="s">
        <v>58</v>
      </c>
      <c r="D356" t="str">
        <f>VLOOKUP($A356,'По порядку'!$A$2:$E$414,3,FALSE)</f>
        <v>saha-</v>
      </c>
      <c r="E356" t="str">
        <f>VLOOKUP($A356,'По порядку'!$A$2:$E$414,4,FALSE)</f>
        <v>bahuvrīhi</v>
      </c>
      <c r="F356" t="str">
        <f>VLOOKUP($A356,'По порядку'!$A$2:$E$414,5,FALSE)</f>
        <v>3.23</v>
      </c>
      <c r="G356" t="b">
        <v>1</v>
      </c>
    </row>
    <row r="357" spans="1:7">
      <c r="A357" s="3">
        <v>366</v>
      </c>
      <c r="B357" s="3">
        <v>356</v>
      </c>
      <c r="C357" t="s">
        <v>306</v>
      </c>
      <c r="D357" t="str">
        <f>VLOOKUP($A357,'По порядку'!$A$2:$E$414,3,FALSE)</f>
        <v xml:space="preserve">sahapūrvapado </v>
      </c>
      <c r="E357" t="str">
        <f>VLOOKUP($A357,'По порядку'!$A$2:$E$414,4,FALSE)</f>
        <v>bahuvrīhi</v>
      </c>
      <c r="F357" t="str">
        <f>VLOOKUP($A357,'По порядку'!$A$2:$E$414,5,FALSE)</f>
        <v>6.56</v>
      </c>
    </row>
    <row r="358" spans="1:7">
      <c r="A358" s="3">
        <v>336</v>
      </c>
      <c r="B358" s="3">
        <v>357</v>
      </c>
      <c r="C358" t="s">
        <v>281</v>
      </c>
      <c r="D358" t="str">
        <f>VLOOKUP($A358,'По порядку'!$A$2:$E$414,3,FALSE)</f>
        <v>tṛtīyā-</v>
      </c>
      <c r="E358" t="str">
        <f>VLOOKUP($A358,'По порядку'!$A$2:$E$414,4,FALSE)</f>
        <v>tatpuruṣa</v>
      </c>
      <c r="F358" t="str">
        <f>VLOOKUP($A358,'По порядку'!$A$2:$E$414,5,FALSE)</f>
        <v>6.42</v>
      </c>
    </row>
    <row r="359" spans="1:7">
      <c r="A359" s="3">
        <v>268</v>
      </c>
      <c r="B359" s="3">
        <v>358</v>
      </c>
      <c r="C359" t="s">
        <v>226</v>
      </c>
      <c r="D359" t="str">
        <f>VLOOKUP($A359,'По порядку'!$A$2:$E$414,3,FALSE)</f>
        <v xml:space="preserve">vyadhikaraṇa </v>
      </c>
      <c r="E359" t="str">
        <f>VLOOKUP($A359,'По порядку'!$A$2:$E$414,4,FALSE)</f>
        <v>bahuvrīhi</v>
      </c>
      <c r="F359" t="str">
        <f>VLOOKUP($A359,'По порядку'!$A$2:$E$414,5,FALSE)</f>
        <v>6.5</v>
      </c>
    </row>
    <row r="360" spans="1:7">
      <c r="A360" s="3">
        <v>394</v>
      </c>
      <c r="B360" s="3">
        <v>359</v>
      </c>
      <c r="C360" t="s">
        <v>332</v>
      </c>
      <c r="D360" t="str">
        <f>VLOOKUP($A360,'По порядку'!$A$2:$E$414,3,FALSE)</f>
        <v xml:space="preserve">upamānapūrvapadaḥ </v>
      </c>
      <c r="E360" t="str">
        <f>VLOOKUP($A360,'По порядку'!$A$2:$E$414,4,FALSE)</f>
        <v>karmadhāraya</v>
      </c>
      <c r="F360" t="str">
        <f>VLOOKUP($A360,'По порядку'!$A$2:$E$414,5,FALSE)</f>
        <v>6.66</v>
      </c>
    </row>
    <row r="361" spans="1:7">
      <c r="A361" s="3">
        <v>68</v>
      </c>
      <c r="B361" s="3">
        <v>360</v>
      </c>
      <c r="C361" t="s">
        <v>61</v>
      </c>
      <c r="D361" t="str">
        <f>VLOOKUP($A361,'По порядку'!$A$2:$E$414,3,FALSE)</f>
        <v>ṣaṣṭhī-</v>
      </c>
      <c r="E361" t="str">
        <f>VLOOKUP($A361,'По порядку'!$A$2:$E$414,4,FALSE)</f>
        <v>tatpuruṣa</v>
      </c>
      <c r="F361" t="str">
        <f>VLOOKUP($A361,'По порядку'!$A$2:$E$414,5,FALSE)</f>
        <v>1.33</v>
      </c>
    </row>
    <row r="362" spans="1:7">
      <c r="A362" s="3">
        <v>361</v>
      </c>
      <c r="B362" s="3">
        <v>361</v>
      </c>
      <c r="C362" t="s">
        <v>302</v>
      </c>
      <c r="D362" t="str">
        <f>VLOOKUP($A362,'По порядку'!$A$2:$E$414,3,FALSE)</f>
        <v>saptamī-</v>
      </c>
      <c r="E362" t="str">
        <f>VLOOKUP($A362,'По порядку'!$A$2:$E$414,4,FALSE)</f>
        <v>tatpuruṣa</v>
      </c>
      <c r="F362" t="str">
        <f>VLOOKUP($A362,'По порядку'!$A$2:$E$414,5,FALSE)</f>
        <v>6.53</v>
      </c>
    </row>
    <row r="363" spans="1:7">
      <c r="A363" s="3">
        <v>78</v>
      </c>
      <c r="B363" s="3">
        <v>362</v>
      </c>
      <c r="C363" t="s">
        <v>70</v>
      </c>
      <c r="D363" t="str">
        <f>VLOOKUP($A363,'По порядку'!$A$2:$E$414,3,FALSE)</f>
        <v>samānādhikaraṇa-</v>
      </c>
      <c r="E363" t="str">
        <f>VLOOKUP($A363,'По порядку'!$A$2:$E$414,4,FALSE)</f>
        <v>bahuvrīhi</v>
      </c>
      <c r="F363" t="str">
        <f>VLOOKUP($A363,'По порядку'!$A$2:$E$414,5,FALSE)</f>
        <v>1.37</v>
      </c>
    </row>
    <row r="364" spans="1:7">
      <c r="A364" s="3">
        <v>74</v>
      </c>
      <c r="B364" s="3">
        <v>363</v>
      </c>
      <c r="C364" t="s">
        <v>66</v>
      </c>
      <c r="D364" t="str">
        <f>VLOOKUP($A364,'По порядку'!$A$2:$E$414,3,FALSE)</f>
        <v>ṣaṣṭhī-</v>
      </c>
      <c r="E364" t="str">
        <f>VLOOKUP($A364,'По порядку'!$A$2:$E$414,4,FALSE)</f>
        <v>tatpuruṣa</v>
      </c>
      <c r="F364" t="str">
        <f>VLOOKUP($A364,'По порядку'!$A$2:$E$414,5,FALSE)</f>
        <v>1.36</v>
      </c>
    </row>
    <row r="365" spans="1:7">
      <c r="A365" s="3">
        <v>130</v>
      </c>
      <c r="B365" s="3">
        <v>364</v>
      </c>
      <c r="C365" t="s">
        <v>114</v>
      </c>
      <c r="D365" t="str">
        <f>VLOOKUP($A365,'По порядку'!$A$2:$E$414,3,FALSE)</f>
        <v>itaretara-</v>
      </c>
      <c r="E365" t="str">
        <f>VLOOKUP($A365,'По порядку'!$A$2:$E$414,4,FALSE)</f>
        <v>dvandva</v>
      </c>
      <c r="F365" t="str">
        <f>VLOOKUP($A365,'По порядку'!$A$2:$E$414,5,FALSE)</f>
        <v>2.20</v>
      </c>
    </row>
    <row r="366" spans="1:7">
      <c r="A366" s="3">
        <v>129</v>
      </c>
      <c r="B366" s="3">
        <v>365</v>
      </c>
      <c r="C366" t="s">
        <v>113</v>
      </c>
      <c r="D366" t="str">
        <f>VLOOKUP($A366,'По порядку'!$A$2:$E$414,3,FALSE)</f>
        <v>tṛtīyā-</v>
      </c>
      <c r="E366" t="str">
        <f>VLOOKUP($A366,'По порядку'!$A$2:$E$414,4,FALSE)</f>
        <v>tatpuruṣa</v>
      </c>
      <c r="F366" t="str">
        <f>VLOOKUP($A366,'По порядку'!$A$2:$E$414,5,FALSE)</f>
        <v>2.20</v>
      </c>
    </row>
    <row r="367" spans="1:7">
      <c r="A367" s="3">
        <v>382</v>
      </c>
      <c r="B367" s="3">
        <v>366</v>
      </c>
      <c r="C367" t="s">
        <v>321</v>
      </c>
      <c r="D367" t="str">
        <f>VLOOKUP($A367,'По порядку'!$A$2:$E$414,3,FALSE)</f>
        <v>dvitīyā-</v>
      </c>
      <c r="E367" t="str">
        <f>VLOOKUP($A367,'По порядку'!$A$2:$E$414,4,FALSE)</f>
        <v>tatpuruṣa</v>
      </c>
      <c r="F367" t="str">
        <f>VLOOKUP($A367,'По порядку'!$A$2:$E$414,5,FALSE)</f>
        <v>6.62</v>
      </c>
    </row>
    <row r="368" spans="1:7">
      <c r="A368" s="3">
        <v>226</v>
      </c>
      <c r="B368" s="3">
        <v>367</v>
      </c>
      <c r="C368" t="s">
        <v>558</v>
      </c>
      <c r="D368" t="str">
        <f>VLOOKUP($A368,'По порядку'!$A$2:$E$414,3,FALSE)</f>
        <v>ṣaṣṭhī-</v>
      </c>
      <c r="E368" t="str">
        <f>VLOOKUP($A368,'По порядку'!$A$2:$E$414,4,FALSE)</f>
        <v>tatpuruṣa</v>
      </c>
      <c r="F368" t="str">
        <f>VLOOKUP($A368,'По порядку'!$A$2:$E$414,5,FALSE)</f>
        <v>4.18</v>
      </c>
    </row>
    <row r="369" spans="1:7">
      <c r="A369" s="3">
        <v>219</v>
      </c>
      <c r="B369" s="3">
        <v>368</v>
      </c>
      <c r="C369" t="s">
        <v>189</v>
      </c>
      <c r="D369" t="str">
        <f>VLOOKUP($A369,'По порядку'!$A$2:$E$414,3,FALSE)</f>
        <v>ṣaṣṭhī-</v>
      </c>
      <c r="E369" t="str">
        <f>VLOOKUP($A369,'По порядку'!$A$2:$E$414,4,FALSE)</f>
        <v>tatpuruṣa</v>
      </c>
      <c r="F369" t="str">
        <f>VLOOKUP($A369,'По порядку'!$A$2:$E$414,5,FALSE)</f>
        <v>4.13</v>
      </c>
    </row>
    <row r="370" spans="1:7">
      <c r="A370" s="3">
        <v>218</v>
      </c>
      <c r="B370" s="3">
        <v>369</v>
      </c>
      <c r="C370" t="s">
        <v>188</v>
      </c>
      <c r="D370" t="str">
        <f>VLOOKUP($A370,'По порядку'!$A$2:$E$414,3,FALSE)</f>
        <v>tṛtīyā-</v>
      </c>
      <c r="E370" t="str">
        <f>VLOOKUP($A370,'По порядку'!$A$2:$E$414,4,FALSE)</f>
        <v>tatpuruṣa</v>
      </c>
      <c r="F370" t="str">
        <f>VLOOKUP($A370,'По порядку'!$A$2:$E$414,5,FALSE)</f>
        <v>4.13</v>
      </c>
    </row>
    <row r="371" spans="1:7">
      <c r="A371" s="3">
        <v>341</v>
      </c>
      <c r="B371" s="3">
        <v>370</v>
      </c>
      <c r="C371" t="s">
        <v>284</v>
      </c>
      <c r="D371" t="str">
        <f>VLOOKUP($A371,'По порядку'!$A$2:$E$414,3,FALSE)</f>
        <v>ṣaṣṭhī-</v>
      </c>
      <c r="E371" t="str">
        <f>VLOOKUP($A371,'По порядку'!$A$2:$E$414,4,FALSE)</f>
        <v>tatpuruṣa</v>
      </c>
      <c r="F371" t="str">
        <f>VLOOKUP($A371,'По порядку'!$A$2:$E$414,5,FALSE)</f>
        <v>6.44</v>
      </c>
    </row>
    <row r="372" spans="1:7">
      <c r="A372" s="3">
        <v>340</v>
      </c>
      <c r="B372" s="3">
        <v>371</v>
      </c>
      <c r="C372" t="s">
        <v>283</v>
      </c>
      <c r="D372" t="str">
        <f>VLOOKUP($A372,'По порядку'!$A$2:$E$414,3,FALSE)</f>
        <v>upapada-</v>
      </c>
      <c r="E372" t="str">
        <f>VLOOKUP($A372,'По порядку'!$A$2:$E$414,4,FALSE)</f>
        <v>tatpuruṣa</v>
      </c>
      <c r="F372" t="str">
        <f>VLOOKUP($A372,'По порядку'!$A$2:$E$414,5,FALSE)</f>
        <v>6.44</v>
      </c>
    </row>
    <row r="373" spans="1:7">
      <c r="A373" s="3">
        <v>187</v>
      </c>
      <c r="B373" s="3">
        <v>372</v>
      </c>
      <c r="C373" t="s">
        <v>164</v>
      </c>
      <c r="D373" t="str">
        <f>VLOOKUP($A373,'По порядку'!$A$2:$E$414,3,FALSE)</f>
        <v>dvitīyā-</v>
      </c>
      <c r="E373" t="str">
        <f>VLOOKUP($A373,'По порядку'!$A$2:$E$414,4,FALSE)</f>
        <v>tatpuruṣa</v>
      </c>
      <c r="F373" t="str">
        <f>VLOOKUP($A373,'По порядку'!$A$2:$E$414,5,FALSE)</f>
        <v>3.27</v>
      </c>
    </row>
    <row r="374" spans="1:7">
      <c r="A374" s="3">
        <v>222</v>
      </c>
      <c r="B374" s="3">
        <v>373</v>
      </c>
      <c r="C374" t="s">
        <v>178</v>
      </c>
      <c r="D374" t="str">
        <f>VLOOKUP($A374,'По порядку'!$A$2:$E$414,3,FALSE)</f>
        <v>samānādhikaraṇa-</v>
      </c>
      <c r="E374" t="str">
        <f>VLOOKUP($A374,'По порядку'!$A$2:$E$414,4,FALSE)</f>
        <v>bahuvrīhi</v>
      </c>
      <c r="F374" t="str">
        <f>VLOOKUP($A374,'По порядку'!$A$2:$E$414,5,FALSE)</f>
        <v>4.15</v>
      </c>
    </row>
    <row r="375" spans="1:7">
      <c r="A375" s="3">
        <v>204</v>
      </c>
      <c r="B375" s="3">
        <v>374</v>
      </c>
      <c r="C375" t="s">
        <v>178</v>
      </c>
      <c r="D375" t="str">
        <f>VLOOKUP($A375,'По порядку'!$A$2:$E$414,3,FALSE)</f>
        <v>samānādhikaraṇa-</v>
      </c>
      <c r="E375" t="str">
        <f>VLOOKUP($A375,'По порядку'!$A$2:$E$414,4,FALSE)</f>
        <v>bahuvrīhi</v>
      </c>
      <c r="F375" t="str">
        <f>VLOOKUP($A375,'По порядку'!$A$2:$E$414,5,FALSE)</f>
        <v>4.7</v>
      </c>
      <c r="G375" t="b">
        <v>1</v>
      </c>
    </row>
    <row r="376" spans="1:7">
      <c r="A376" s="3">
        <v>269</v>
      </c>
      <c r="B376" s="3">
        <v>375</v>
      </c>
      <c r="C376" t="s">
        <v>178</v>
      </c>
      <c r="D376" t="str">
        <f>VLOOKUP($A376,'По порядку'!$A$2:$E$414,3,FALSE)</f>
        <v xml:space="preserve">samānādhikaraṇa </v>
      </c>
      <c r="E376" t="str">
        <f>VLOOKUP($A376,'По порядку'!$A$2:$E$414,4,FALSE)</f>
        <v>bahuvrīhi</v>
      </c>
      <c r="F376" t="str">
        <f>VLOOKUP($A376,'По порядку'!$A$2:$E$414,5,FALSE)</f>
        <v>6.6</v>
      </c>
      <c r="G376" t="b">
        <v>1</v>
      </c>
    </row>
    <row r="377" spans="1:7">
      <c r="A377" s="3">
        <v>194</v>
      </c>
      <c r="B377" s="3">
        <v>376</v>
      </c>
      <c r="C377" t="s">
        <v>170</v>
      </c>
      <c r="D377" t="str">
        <f>VLOOKUP($A377,'По порядку'!$A$2:$E$414,3,FALSE)</f>
        <v xml:space="preserve">vyadhikaraṇa </v>
      </c>
      <c r="E377" t="str">
        <f>VLOOKUP($A377,'По порядку'!$A$2:$E$414,4,FALSE)</f>
        <v>bahuvrīhi</v>
      </c>
      <c r="F377" t="str">
        <f>VLOOKUP($A377,'По порядку'!$A$2:$E$414,5,FALSE)</f>
        <v>4.28</v>
      </c>
    </row>
    <row r="378" spans="1:7">
      <c r="A378" s="3">
        <v>256</v>
      </c>
      <c r="B378" s="3">
        <v>377</v>
      </c>
      <c r="C378" t="s">
        <v>215</v>
      </c>
      <c r="D378" t="str">
        <f>VLOOKUP($A378,'По порядку'!$A$2:$E$414,3,FALSE)</f>
        <v xml:space="preserve">samānādhikaraṇa </v>
      </c>
      <c r="E378" t="str">
        <f>VLOOKUP($A378,'По порядку'!$A$2:$E$414,4,FALSE)</f>
        <v>bahuvrīhi</v>
      </c>
      <c r="F378" t="str">
        <f>VLOOKUP($A378,'По порядку'!$A$2:$E$414,5,FALSE)</f>
        <v>6.1</v>
      </c>
    </row>
    <row r="379" spans="1:7">
      <c r="A379" s="3">
        <v>40</v>
      </c>
      <c r="B379" s="3">
        <v>378</v>
      </c>
      <c r="C379" t="s">
        <v>35</v>
      </c>
      <c r="D379" t="str">
        <f>VLOOKUP($A379,'По порядку'!$A$2:$E$414,3,FALSE)</f>
        <v>samānādhikaraṇa-</v>
      </c>
      <c r="E379" t="str">
        <f>VLOOKUP($A379,'По порядку'!$A$2:$E$414,4,FALSE)</f>
        <v>bahuvrīhi</v>
      </c>
      <c r="F379" t="str">
        <f>VLOOKUP($A379,'По порядку'!$A$2:$E$414,5,FALSE)</f>
        <v>1.19</v>
      </c>
    </row>
    <row r="380" spans="1:7">
      <c r="A380" s="3">
        <v>214</v>
      </c>
      <c r="B380" s="3">
        <v>379</v>
      </c>
      <c r="C380" t="s">
        <v>35</v>
      </c>
      <c r="D380" t="str">
        <f>VLOOKUP($A380,'По порядку'!$A$2:$E$414,3,FALSE)</f>
        <v>samānādhikaraṇa-</v>
      </c>
      <c r="E380" t="str">
        <f>VLOOKUP($A380,'По порядку'!$A$2:$E$414,4,FALSE)</f>
        <v>bahuvrīhi</v>
      </c>
      <c r="F380" t="str">
        <f>VLOOKUP($A380,'По порядку'!$A$2:$E$414,5,FALSE)</f>
        <v>4.12</v>
      </c>
      <c r="G380" t="b">
        <v>1</v>
      </c>
    </row>
    <row r="381" spans="1:7">
      <c r="A381" s="3">
        <v>207</v>
      </c>
      <c r="B381" s="3">
        <v>380</v>
      </c>
      <c r="C381" t="s">
        <v>35</v>
      </c>
      <c r="D381" t="str">
        <f>VLOOKUP($A381,'По порядку'!$A$2:$E$414,3,FALSE)</f>
        <v>samānādhikaraṇa-</v>
      </c>
      <c r="E381" t="str">
        <f>VLOOKUP($A381,'По порядку'!$A$2:$E$414,4,FALSE)</f>
        <v>bahuvrīhi</v>
      </c>
      <c r="F381" t="str">
        <f>VLOOKUP($A381,'По порядку'!$A$2:$E$414,5,FALSE)</f>
        <v>4.8</v>
      </c>
      <c r="G381" t="b">
        <v>1</v>
      </c>
    </row>
    <row r="382" spans="1:7">
      <c r="A382" s="3">
        <v>189</v>
      </c>
      <c r="B382" s="3">
        <v>381</v>
      </c>
      <c r="C382" t="s">
        <v>35</v>
      </c>
      <c r="D382" t="str">
        <f>VLOOKUP($A382,'По порядку'!$A$2:$E$414,3,FALSE)</f>
        <v>samānādhikaraṇa-</v>
      </c>
      <c r="E382" t="str">
        <f>VLOOKUP($A382,'По порядку'!$A$2:$E$414,4,FALSE)</f>
        <v>bahuvrīhi</v>
      </c>
      <c r="F382" t="str">
        <f>VLOOKUP($A382,'По порядку'!$A$2:$E$414,5,FALSE)</f>
        <v>3.27</v>
      </c>
      <c r="G382" t="b">
        <v>1</v>
      </c>
    </row>
    <row r="383" spans="1:7">
      <c r="A383" s="3">
        <v>387</v>
      </c>
      <c r="B383" s="3">
        <v>382</v>
      </c>
      <c r="C383" t="s">
        <v>326</v>
      </c>
      <c r="D383" t="str">
        <f>VLOOKUP($A383,'По порядку'!$A$2:$E$414,3,FALSE)</f>
        <v xml:space="preserve">samānādhikaraṇa </v>
      </c>
      <c r="E383" t="str">
        <f>VLOOKUP($A383,'По порядку'!$A$2:$E$414,4,FALSE)</f>
        <v>bahuvrīhi</v>
      </c>
      <c r="F383" t="str">
        <f>VLOOKUP($A383,'По порядку'!$A$2:$E$414,5,FALSE)</f>
        <v>6.64</v>
      </c>
    </row>
    <row r="384" spans="1:7">
      <c r="A384" s="3">
        <v>386</v>
      </c>
      <c r="B384" s="3">
        <v>383</v>
      </c>
      <c r="C384" t="s">
        <v>325</v>
      </c>
      <c r="D384" t="str">
        <f>VLOOKUP($A384,'По порядку'!$A$2:$E$414,3,FALSE)</f>
        <v xml:space="preserve">viśeṣaṇapūrvapadaḥ </v>
      </c>
      <c r="E384" t="str">
        <f>VLOOKUP($A384,'По порядку'!$A$2:$E$414,4,FALSE)</f>
        <v>karmadhāraya</v>
      </c>
      <c r="F384" t="str">
        <f>VLOOKUP($A384,'По порядку'!$A$2:$E$414,5,FALSE)</f>
        <v>6.64</v>
      </c>
    </row>
    <row r="385" spans="1:7">
      <c r="A385" s="3">
        <v>377</v>
      </c>
      <c r="B385" s="3">
        <v>384</v>
      </c>
      <c r="C385" t="s">
        <v>316</v>
      </c>
      <c r="D385" t="str">
        <f>VLOOKUP($A385,'По порядку'!$A$2:$E$414,3,FALSE)</f>
        <v xml:space="preserve">samānādhikaraṇa </v>
      </c>
      <c r="E385" t="str">
        <f>VLOOKUP($A385,'По порядку'!$A$2:$E$414,4,FALSE)</f>
        <v>bahuvrīhi</v>
      </c>
      <c r="F385" t="str">
        <f>VLOOKUP($A385,'По порядку'!$A$2:$E$414,5,FALSE)</f>
        <v>6.61</v>
      </c>
    </row>
    <row r="386" spans="1:7">
      <c r="A386" s="3">
        <v>190</v>
      </c>
      <c r="B386" s="3">
        <v>385</v>
      </c>
      <c r="C386" t="s">
        <v>166</v>
      </c>
      <c r="D386" t="str">
        <f>VLOOKUP($A386,'По порядку'!$A$2:$E$414,3,FALSE)</f>
        <v>samānādhikaraṇa-</v>
      </c>
      <c r="E386" t="str">
        <f>VLOOKUP($A386,'По порядку'!$A$2:$E$414,4,FALSE)</f>
        <v>bahuvrīhi</v>
      </c>
      <c r="F386" t="str">
        <f>VLOOKUP($A386,'По порядку'!$A$2:$E$414,5,FALSE)</f>
        <v>3.28</v>
      </c>
    </row>
    <row r="387" spans="1:7">
      <c r="A387" s="3">
        <v>196</v>
      </c>
      <c r="B387" s="3">
        <v>386</v>
      </c>
      <c r="C387" t="s">
        <v>166</v>
      </c>
      <c r="D387" t="str">
        <f>VLOOKUP($A387,'По порядку'!$A$2:$E$414,3,FALSE)</f>
        <v>samānādhikaraṇa-</v>
      </c>
      <c r="E387" t="str">
        <f>VLOOKUP($A387,'По порядку'!$A$2:$E$414,4,FALSE)</f>
        <v>bahuvrīhi</v>
      </c>
      <c r="F387" t="str">
        <f>VLOOKUP($A387,'По порядку'!$A$2:$E$414,5,FALSE)</f>
        <v>4.2</v>
      </c>
      <c r="G387" t="b">
        <v>1</v>
      </c>
    </row>
    <row r="388" spans="1:7">
      <c r="A388" s="3">
        <v>198</v>
      </c>
      <c r="B388" s="3">
        <v>387</v>
      </c>
      <c r="C388" t="s">
        <v>173</v>
      </c>
      <c r="D388" t="str">
        <f>VLOOKUP($A388,'По порядку'!$A$2:$E$414,3,FALSE)</f>
        <v>samānādhikaraṇa-</v>
      </c>
      <c r="E388" t="str">
        <f>VLOOKUP($A388,'По порядку'!$A$2:$E$414,4,FALSE)</f>
        <v>bahuvrīhi</v>
      </c>
      <c r="F388" t="str">
        <f>VLOOKUP($A388,'По порядку'!$A$2:$E$414,5,FALSE)</f>
        <v>4.4</v>
      </c>
    </row>
    <row r="389" spans="1:7">
      <c r="A389" s="3">
        <v>213</v>
      </c>
      <c r="B389" s="3">
        <v>388</v>
      </c>
      <c r="C389" t="s">
        <v>185</v>
      </c>
      <c r="D389" t="str">
        <f>VLOOKUP($A389,'По порядку'!$A$2:$E$414,3,FALSE)</f>
        <v>prādi-</v>
      </c>
      <c r="E389" t="str">
        <f>VLOOKUP($A389,'По порядку'!$A$2:$E$414,4,FALSE)</f>
        <v>tatpuruṣa</v>
      </c>
      <c r="F389" t="str">
        <f>VLOOKUP($A389,'По порядку'!$A$2:$E$414,5,FALSE)</f>
        <v>4.10</v>
      </c>
    </row>
    <row r="390" spans="1:7">
      <c r="A390" s="3">
        <v>333</v>
      </c>
      <c r="B390" s="3">
        <v>389</v>
      </c>
      <c r="C390" t="s">
        <v>185</v>
      </c>
      <c r="D390" t="str">
        <f>VLOOKUP($A390,'По порядку'!$A$2:$E$414,3,FALSE)</f>
        <v>prādi-</v>
      </c>
      <c r="E390" t="str">
        <f>VLOOKUP($A390,'По порядку'!$A$2:$E$414,4,FALSE)</f>
        <v>tatpuruṣa</v>
      </c>
      <c r="F390" t="str">
        <f>VLOOKUP($A390,'По порядку'!$A$2:$E$414,5,FALSE)</f>
        <v>6.40</v>
      </c>
      <c r="G390" t="b">
        <v>1</v>
      </c>
    </row>
    <row r="391" spans="1:7">
      <c r="A391" s="3">
        <v>337</v>
      </c>
      <c r="B391" s="3">
        <v>390</v>
      </c>
      <c r="C391" t="s">
        <v>185</v>
      </c>
      <c r="D391" t="str">
        <f>VLOOKUP($A391,'По порядку'!$A$2:$E$414,3,FALSE)</f>
        <v>prādi-</v>
      </c>
      <c r="E391" t="str">
        <f>VLOOKUP($A391,'По порядку'!$A$2:$E$414,4,FALSE)</f>
        <v>tatpuruṣa</v>
      </c>
      <c r="F391" t="str">
        <f>VLOOKUP($A391,'По порядку'!$A$2:$E$414,5,FALSE)</f>
        <v>6.42</v>
      </c>
      <c r="G391" t="b">
        <v>1</v>
      </c>
    </row>
    <row r="392" spans="1:7">
      <c r="A392" s="3">
        <v>328</v>
      </c>
      <c r="B392" s="3">
        <v>391</v>
      </c>
      <c r="C392" t="s">
        <v>274</v>
      </c>
      <c r="D392" t="str">
        <f>VLOOKUP($A392,'По порядку'!$A$2:$E$414,3,FALSE)</f>
        <v>prādi-</v>
      </c>
      <c r="E392" t="str">
        <f>VLOOKUP($A392,'По порядку'!$A$2:$E$414,4,FALSE)</f>
        <v>tatpuruṣa</v>
      </c>
      <c r="F392" t="str">
        <f>VLOOKUP($A392,'По порядку'!$A$2:$E$414,5,FALSE)</f>
        <v>6.35</v>
      </c>
    </row>
    <row r="393" spans="1:7">
      <c r="A393" s="3">
        <v>201</v>
      </c>
      <c r="B393" s="3">
        <v>392</v>
      </c>
      <c r="C393" t="s">
        <v>176</v>
      </c>
      <c r="D393" t="str">
        <f>VLOOKUP($A393,'По порядку'!$A$2:$E$414,3,FALSE)</f>
        <v>prādi-</v>
      </c>
      <c r="E393" t="str">
        <f>VLOOKUP($A393,'По порядку'!$A$2:$E$414,4,FALSE)</f>
        <v>tatpuruṣa</v>
      </c>
      <c r="F393" t="str">
        <f>VLOOKUP($A393,'По порядку'!$A$2:$E$414,5,FALSE)</f>
        <v>4.5</v>
      </c>
    </row>
    <row r="394" spans="1:7">
      <c r="A394" s="3">
        <v>347</v>
      </c>
      <c r="B394" s="3">
        <v>393</v>
      </c>
      <c r="C394" t="s">
        <v>290</v>
      </c>
      <c r="D394" t="str">
        <f>VLOOKUP($A394,'По порядку'!$A$2:$E$414,3,FALSE)</f>
        <v>prādi-</v>
      </c>
      <c r="E394" t="str">
        <f>VLOOKUP($A394,'По порядку'!$A$2:$E$414,4,FALSE)</f>
        <v>tatpuruṣa</v>
      </c>
      <c r="F394" t="str">
        <f>VLOOKUP($A394,'По порядку'!$A$2:$E$414,5,FALSE)</f>
        <v>6.48</v>
      </c>
    </row>
    <row r="395" spans="1:7">
      <c r="A395" s="3">
        <v>272</v>
      </c>
      <c r="B395" s="3">
        <v>394</v>
      </c>
      <c r="C395" t="s">
        <v>229</v>
      </c>
      <c r="D395" t="str">
        <f>VLOOKUP($A395,'По порядку'!$A$2:$E$414,3,FALSE)</f>
        <v>prādi-</v>
      </c>
      <c r="E395" t="str">
        <f>VLOOKUP($A395,'По порядку'!$A$2:$E$414,4,FALSE)</f>
        <v>tatpuruṣa</v>
      </c>
      <c r="F395" t="str">
        <f>VLOOKUP($A395,'По порядку'!$A$2:$E$414,5,FALSE)</f>
        <v>6.6</v>
      </c>
    </row>
    <row r="396" spans="1:7">
      <c r="A396" s="3">
        <v>70</v>
      </c>
      <c r="B396" s="3">
        <v>395</v>
      </c>
      <c r="C396" t="s">
        <v>63</v>
      </c>
      <c r="D396" t="str">
        <f>VLOOKUP($A396,'По порядку'!$A$2:$E$414,3,FALSE)</f>
        <v>samānādhikaraṇa-</v>
      </c>
      <c r="E396" t="str">
        <f>VLOOKUP($A396,'По порядку'!$A$2:$E$414,4,FALSE)</f>
        <v>bahuvrīhi</v>
      </c>
      <c r="F396" t="str">
        <f>VLOOKUP($A396,'По порядку'!$A$2:$E$414,5,FALSE)</f>
        <v>1.34</v>
      </c>
    </row>
    <row r="397" spans="1:7">
      <c r="A397" s="3">
        <v>44</v>
      </c>
      <c r="B397" s="3">
        <v>396</v>
      </c>
      <c r="C397" t="s">
        <v>38</v>
      </c>
      <c r="D397" t="str">
        <f>VLOOKUP($A397,'По порядку'!$A$2:$E$414,3,FALSE)</f>
        <v>ṣaṣṭhī-</v>
      </c>
      <c r="E397" t="str">
        <f>VLOOKUP($A397,'По порядку'!$A$2:$E$414,4,FALSE)</f>
        <v>tatpuruṣa</v>
      </c>
      <c r="F397" t="str">
        <f>VLOOKUP($A397,'По порядку'!$A$2:$E$414,5,FALSE)</f>
        <v>1.23</v>
      </c>
    </row>
    <row r="398" spans="1:7">
      <c r="A398" s="3">
        <v>109</v>
      </c>
      <c r="B398" s="3">
        <v>397</v>
      </c>
      <c r="C398" t="s">
        <v>93</v>
      </c>
      <c r="D398" t="str">
        <f>VLOOKUP($A398,'По порядку'!$A$2:$E$414,3,FALSE)</f>
        <v>tṛtīyā-</v>
      </c>
      <c r="E398" t="str">
        <f>VLOOKUP($A398,'По порядку'!$A$2:$E$414,4,FALSE)</f>
        <v>tatpuruṣa</v>
      </c>
      <c r="F398" t="str">
        <f>VLOOKUP($A398,'По порядку'!$A$2:$E$414,5,FALSE)</f>
        <v>2.12</v>
      </c>
    </row>
    <row r="399" spans="1:7">
      <c r="A399" s="3">
        <v>262</v>
      </c>
      <c r="B399" s="3">
        <v>398</v>
      </c>
      <c r="C399" t="s">
        <v>220</v>
      </c>
      <c r="D399" t="str">
        <f>VLOOKUP($A399,'По порядку'!$A$2:$E$414,3,FALSE)</f>
        <v>prādi-</v>
      </c>
      <c r="E399" t="str">
        <f>VLOOKUP($A399,'По порядку'!$A$2:$E$414,4,FALSE)</f>
        <v>tatpuruṣa</v>
      </c>
      <c r="F399" t="str">
        <f>VLOOKUP($A399,'По порядку'!$A$2:$E$414,5,FALSE)</f>
        <v>6.3</v>
      </c>
    </row>
    <row r="400" spans="1:7">
      <c r="A400" s="3">
        <v>242</v>
      </c>
      <c r="B400" s="3">
        <v>399</v>
      </c>
      <c r="C400" t="s">
        <v>205</v>
      </c>
      <c r="D400" t="str">
        <f>VLOOKUP($A400,'По порядку'!$A$2:$E$414,3,FALSE)</f>
        <v>prādi-</v>
      </c>
      <c r="E400" t="str">
        <f>VLOOKUP($A400,'По порядку'!$A$2:$E$414,4,FALSE)</f>
        <v>tatpuruṣa</v>
      </c>
      <c r="F400" t="str">
        <f>VLOOKUP($A400,'По порядку'!$A$2:$E$414,5,FALSE)</f>
        <v>5.5</v>
      </c>
    </row>
    <row r="401" spans="1:6">
      <c r="A401" s="3">
        <v>369</v>
      </c>
      <c r="B401" s="3">
        <v>400</v>
      </c>
      <c r="C401" t="s">
        <v>309</v>
      </c>
      <c r="D401" t="str">
        <f>VLOOKUP($A401,'По порядку'!$A$2:$E$414,3,FALSE)</f>
        <v>ṣaṣṭhī-</v>
      </c>
      <c r="E401" t="str">
        <f>VLOOKUP($A401,'По порядку'!$A$2:$E$414,4,FALSE)</f>
        <v>tatpuruṣa</v>
      </c>
      <c r="F401" t="str">
        <f>VLOOKUP($A401,'По порядку'!$A$2:$E$414,5,FALSE)</f>
        <v>6.56</v>
      </c>
    </row>
    <row r="402" spans="1:6">
      <c r="A402" s="3">
        <v>43</v>
      </c>
      <c r="B402" s="3">
        <v>401</v>
      </c>
      <c r="C402" t="s">
        <v>37</v>
      </c>
      <c r="D402" t="str">
        <f>VLOOKUP($A402,'По порядку'!$A$2:$E$414,3,FALSE)</f>
        <v>ṣaṣṭhī-</v>
      </c>
      <c r="E402" t="str">
        <f>VLOOKUP($A402,'По порядку'!$A$2:$E$414,4,FALSE)</f>
        <v>tatpuruṣa</v>
      </c>
      <c r="F402" t="str">
        <f>VLOOKUP($A402,'По порядку'!$A$2:$E$414,5,FALSE)</f>
        <v>1.22</v>
      </c>
    </row>
    <row r="403" spans="1:6">
      <c r="A403" s="3">
        <v>380</v>
      </c>
      <c r="B403" s="3">
        <v>402</v>
      </c>
      <c r="C403" t="s">
        <v>319</v>
      </c>
      <c r="D403" t="str">
        <f>VLOOKUP($A403,'По порядку'!$A$2:$E$414,3,FALSE)</f>
        <v>itaretara-</v>
      </c>
      <c r="E403" t="str">
        <f>VLOOKUP($A403,'По порядку'!$A$2:$E$414,4,FALSE)</f>
        <v>dvandva</v>
      </c>
      <c r="F403" t="str">
        <f>VLOOKUP($A403,'По порядку'!$A$2:$E$414,5,FALSE)</f>
        <v>6.61</v>
      </c>
    </row>
    <row r="404" spans="1:6">
      <c r="A404" s="3">
        <v>103</v>
      </c>
      <c r="B404" s="3">
        <v>403</v>
      </c>
      <c r="C404" t="s">
        <v>88</v>
      </c>
      <c r="D404" t="str">
        <f>VLOOKUP($A404,'По порядку'!$A$2:$E$414,3,FALSE)</f>
        <v xml:space="preserve">viśeṣaṇapūrvapadaḥ </v>
      </c>
      <c r="E404" t="str">
        <f>VLOOKUP($A404,'По порядку'!$A$2:$E$414,4,FALSE)</f>
        <v>karmadhāraya</v>
      </c>
      <c r="F404" t="str">
        <f>VLOOKUP($A404,'По порядку'!$A$2:$E$414,5,FALSE)</f>
        <v>2.6</v>
      </c>
    </row>
    <row r="405" spans="1:6">
      <c r="A405" s="3">
        <v>399</v>
      </c>
      <c r="B405" s="3">
        <v>404</v>
      </c>
      <c r="C405" t="s">
        <v>337</v>
      </c>
      <c r="D405" t="str">
        <f>VLOOKUP($A405,'По порядку'!$A$2:$E$414,3,FALSE)</f>
        <v xml:space="preserve">viśeṣaṇapūrvapadaḥ </v>
      </c>
      <c r="E405" t="str">
        <f>VLOOKUP($A405,'По порядку'!$A$2:$E$414,4,FALSE)</f>
        <v>karmadhāraya</v>
      </c>
      <c r="F405" t="str">
        <f>VLOOKUP($A405,'По порядку'!$A$2:$E$414,5,FALSE)</f>
        <v>6.68</v>
      </c>
    </row>
    <row r="406" spans="1:6">
      <c r="A406" s="3">
        <v>229</v>
      </c>
      <c r="B406" s="3">
        <v>405</v>
      </c>
      <c r="C406" t="s">
        <v>195</v>
      </c>
      <c r="D406" t="str">
        <f>VLOOKUP($A406,'По порядку'!$A$2:$E$414,3,FALSE)</f>
        <v xml:space="preserve">viśeṣaṇapūrvapadaḥ </v>
      </c>
      <c r="E406" t="str">
        <f>VLOOKUP($A406,'По порядку'!$A$2:$E$414,4,FALSE)</f>
        <v>karmadhāraya</v>
      </c>
      <c r="F406" t="str">
        <f>VLOOKUP($A406,'По порядку'!$A$2:$E$414,5,FALSE)</f>
        <v>4.20</v>
      </c>
    </row>
    <row r="407" spans="1:6">
      <c r="A407" s="3">
        <v>228</v>
      </c>
      <c r="B407" s="3">
        <v>406</v>
      </c>
      <c r="C407" t="s">
        <v>194</v>
      </c>
      <c r="D407" t="str">
        <f>VLOOKUP($A407,'По порядку'!$A$2:$E$414,3,FALSE)</f>
        <v>ṣaṣṭhī-</v>
      </c>
      <c r="E407" t="str">
        <f>VLOOKUP($A407,'По порядку'!$A$2:$E$414,4,FALSE)</f>
        <v>tatpuruṣa</v>
      </c>
      <c r="F407" t="str">
        <f>VLOOKUP($A407,'По порядку'!$A$2:$E$414,5,FALSE)</f>
        <v>4.20</v>
      </c>
    </row>
    <row r="408" spans="1:6">
      <c r="A408" s="3">
        <v>158</v>
      </c>
      <c r="B408" s="3">
        <v>407</v>
      </c>
      <c r="C408" t="s">
        <v>141</v>
      </c>
      <c r="D408" t="str">
        <f>VLOOKUP($A408,'По порядку'!$A$2:$E$414,3,FALSE)</f>
        <v xml:space="preserve">upamānapūrvapadaḥ </v>
      </c>
      <c r="E408" t="str">
        <f>VLOOKUP($A408,'По порядку'!$A$2:$E$414,4,FALSE)</f>
        <v>karmadhāraya</v>
      </c>
      <c r="F408" t="str">
        <f>VLOOKUP($A408,'По порядку'!$A$2:$E$414,5,FALSE)</f>
        <v>3.14</v>
      </c>
    </row>
    <row r="409" spans="1:6">
      <c r="A409" s="3">
        <v>223</v>
      </c>
      <c r="B409" s="3">
        <v>408</v>
      </c>
      <c r="C409" t="s">
        <v>557</v>
      </c>
      <c r="D409" t="str">
        <f>VLOOKUP($A409,'По порядку'!$A$2:$E$414,3,FALSE)</f>
        <v>samānādhikaraṇa-</v>
      </c>
      <c r="E409" t="str">
        <f>VLOOKUP($A409,'По порядку'!$A$2:$E$414,4,FALSE)</f>
        <v>bahuvrīhi</v>
      </c>
      <c r="F409" t="str">
        <f>VLOOKUP($A409,'По порядку'!$A$2:$E$414,5,FALSE)</f>
        <v>4.17</v>
      </c>
    </row>
    <row r="410" spans="1:6">
      <c r="A410" s="3">
        <v>300</v>
      </c>
      <c r="B410" s="3">
        <v>409</v>
      </c>
      <c r="C410" t="s">
        <v>250</v>
      </c>
      <c r="D410" t="str">
        <f>VLOOKUP($A410,'По порядку'!$A$2:$E$414,3,FALSE)</f>
        <v xml:space="preserve">samānādhikaraṇa </v>
      </c>
      <c r="E410" t="str">
        <f>VLOOKUP($A410,'По порядку'!$A$2:$E$414,4,FALSE)</f>
        <v>bahuvrīhi</v>
      </c>
      <c r="F410" t="str">
        <f>VLOOKUP($A410,'По порядку'!$A$2:$E$414,5,FALSE)</f>
        <v>6.20</v>
      </c>
    </row>
    <row r="411" spans="1:6">
      <c r="A411" s="3">
        <v>221</v>
      </c>
      <c r="B411" s="3">
        <v>410</v>
      </c>
      <c r="C411" t="s">
        <v>190</v>
      </c>
      <c r="D411" t="str">
        <f>VLOOKUP($A411,'По порядку'!$A$2:$E$414,3,FALSE)</f>
        <v>samānādhikaraṇa-</v>
      </c>
      <c r="E411" t="str">
        <f>VLOOKUP($A411,'По порядку'!$A$2:$E$414,4,FALSE)</f>
        <v>bahuvrīhi</v>
      </c>
      <c r="F411" t="str">
        <f>VLOOKUP($A411,'По порядку'!$A$2:$E$414,5,FALSE)</f>
        <v>4.14</v>
      </c>
    </row>
    <row r="412" spans="1:6">
      <c r="A412" s="3">
        <v>281</v>
      </c>
      <c r="B412" s="3">
        <v>411</v>
      </c>
      <c r="C412" t="s">
        <v>562</v>
      </c>
      <c r="D412" t="str">
        <f>VLOOKUP($A412,'По порядку'!$A$2:$E$414,3,FALSE)</f>
        <v xml:space="preserve">itaretara </v>
      </c>
      <c r="E412" t="str">
        <f>VLOOKUP($A412,'По порядку'!$A$2:$E$414,4,FALSE)</f>
        <v>dvandva</v>
      </c>
      <c r="F412" t="str">
        <f>VLOOKUP($A412,'По порядку'!$A$2:$E$414,5,FALSE)</f>
        <v>6.10</v>
      </c>
    </row>
    <row r="413" spans="1:6">
      <c r="A413" s="3">
        <v>25</v>
      </c>
      <c r="B413" s="3">
        <v>412</v>
      </c>
      <c r="C413" t="s">
        <v>23</v>
      </c>
      <c r="D413" t="str">
        <f>VLOOKUP($A413,'По порядку'!$A$2:$E$414,3,FALSE)</f>
        <v>ṣaṣṭhī-</v>
      </c>
      <c r="E413" t="str">
        <f>VLOOKUP($A413,'По порядку'!$A$2:$E$414,4,FALSE)</f>
        <v>tatpuruṣa</v>
      </c>
      <c r="F413" t="str">
        <f>VLOOKUP($A413,'По порядку'!$A$2:$E$414,5,FALSE)</f>
        <v>1.13</v>
      </c>
    </row>
    <row r="414" spans="1:6">
      <c r="A414" s="3">
        <v>212</v>
      </c>
      <c r="B414" s="3">
        <v>413</v>
      </c>
      <c r="C414" t="s">
        <v>184</v>
      </c>
      <c r="D414" t="str">
        <f>VLOOKUP($A414,'По порядку'!$A$2:$E$414,3,FALSE)</f>
        <v xml:space="preserve">viśeṣaṇapūrvapadaḥ </v>
      </c>
      <c r="E414" t="str">
        <f>VLOOKUP($A414,'По порядку'!$A$2:$E$414,4,FALSE)</f>
        <v>karmadhāraya</v>
      </c>
      <c r="F414" t="str">
        <f>VLOOKUP($A414,'По порядку'!$A$2:$E$414,5,FALSE)</f>
        <v>4.10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14"/>
  <sheetViews>
    <sheetView workbookViewId="0">
      <selection activeCell="N159" sqref="N159"/>
    </sheetView>
  </sheetViews>
  <sheetFormatPr defaultRowHeight="15"/>
  <cols>
    <col min="1" max="1" width="15.85546875" customWidth="1"/>
    <col min="2" max="2" width="20.140625" customWidth="1"/>
    <col min="3" max="3" width="21.85546875" customWidth="1"/>
    <col min="4" max="4" width="13.85546875" customWidth="1"/>
  </cols>
  <sheetData>
    <row r="1" spans="1:5">
      <c r="A1" s="2" t="s">
        <v>572</v>
      </c>
      <c r="B1" s="2" t="s">
        <v>569</v>
      </c>
      <c r="C1" s="2" t="s">
        <v>574</v>
      </c>
      <c r="D1" s="2" t="s">
        <v>573</v>
      </c>
      <c r="E1" s="2" t="s">
        <v>570</v>
      </c>
    </row>
    <row r="2" spans="1:5">
      <c r="A2">
        <v>213</v>
      </c>
      <c r="B2" t="s">
        <v>318</v>
      </c>
      <c r="C2" t="s">
        <v>602</v>
      </c>
      <c r="D2" t="s">
        <v>102</v>
      </c>
      <c r="E2" t="s">
        <v>509</v>
      </c>
    </row>
    <row r="3" spans="1:5">
      <c r="A3">
        <v>214</v>
      </c>
      <c r="B3" t="s">
        <v>101</v>
      </c>
      <c r="C3" t="s">
        <v>602</v>
      </c>
      <c r="D3" t="s">
        <v>102</v>
      </c>
      <c r="E3" t="s">
        <v>395</v>
      </c>
    </row>
    <row r="4" spans="1:5">
      <c r="A4">
        <v>328</v>
      </c>
      <c r="B4" t="s">
        <v>116</v>
      </c>
      <c r="C4" t="s">
        <v>544</v>
      </c>
      <c r="D4" t="s">
        <v>529</v>
      </c>
      <c r="E4" t="s">
        <v>400</v>
      </c>
    </row>
    <row r="5" spans="1:5">
      <c r="A5">
        <v>344</v>
      </c>
      <c r="B5" t="s">
        <v>169</v>
      </c>
      <c r="C5" t="s">
        <v>544</v>
      </c>
      <c r="D5" t="s">
        <v>529</v>
      </c>
      <c r="E5" t="s">
        <v>426</v>
      </c>
    </row>
    <row r="6" spans="1:5">
      <c r="A6">
        <v>354</v>
      </c>
      <c r="B6" t="s">
        <v>58</v>
      </c>
      <c r="C6" t="s">
        <v>544</v>
      </c>
      <c r="D6" t="s">
        <v>529</v>
      </c>
      <c r="E6" t="s">
        <v>422</v>
      </c>
    </row>
    <row r="7" spans="1:5">
      <c r="A7">
        <v>355</v>
      </c>
      <c r="B7" t="s">
        <v>58</v>
      </c>
      <c r="C7" t="s">
        <v>544</v>
      </c>
      <c r="D7" t="s">
        <v>529</v>
      </c>
      <c r="E7" t="s">
        <v>421</v>
      </c>
    </row>
    <row r="8" spans="1:5">
      <c r="A8">
        <v>350</v>
      </c>
      <c r="B8" t="s">
        <v>137</v>
      </c>
      <c r="C8" t="s">
        <v>540</v>
      </c>
      <c r="D8" t="s">
        <v>529</v>
      </c>
      <c r="E8" t="s">
        <v>410</v>
      </c>
    </row>
    <row r="9" spans="1:5">
      <c r="A9">
        <v>329</v>
      </c>
      <c r="B9" t="s">
        <v>42</v>
      </c>
      <c r="C9" t="s">
        <v>540</v>
      </c>
      <c r="D9" t="s">
        <v>529</v>
      </c>
      <c r="E9" t="s">
        <v>369</v>
      </c>
    </row>
    <row r="10" spans="1:5">
      <c r="A10">
        <v>332</v>
      </c>
      <c r="B10" t="s">
        <v>335</v>
      </c>
      <c r="C10" t="s">
        <v>540</v>
      </c>
      <c r="D10" t="s">
        <v>529</v>
      </c>
      <c r="E10" t="s">
        <v>516</v>
      </c>
    </row>
    <row r="11" spans="1:5">
      <c r="A11">
        <v>333</v>
      </c>
      <c r="B11" t="s">
        <v>254</v>
      </c>
      <c r="C11" t="s">
        <v>540</v>
      </c>
      <c r="D11" t="s">
        <v>529</v>
      </c>
      <c r="E11" t="s">
        <v>478</v>
      </c>
    </row>
    <row r="12" spans="1:5">
      <c r="A12">
        <v>345</v>
      </c>
      <c r="B12" t="s">
        <v>280</v>
      </c>
      <c r="C12" t="s">
        <v>540</v>
      </c>
      <c r="D12" t="s">
        <v>529</v>
      </c>
      <c r="E12" t="s">
        <v>490</v>
      </c>
    </row>
    <row r="13" spans="1:5">
      <c r="A13">
        <v>346</v>
      </c>
      <c r="B13" t="s">
        <v>257</v>
      </c>
      <c r="C13" t="s">
        <v>540</v>
      </c>
      <c r="D13" t="s">
        <v>529</v>
      </c>
      <c r="E13" t="s">
        <v>480</v>
      </c>
    </row>
    <row r="14" spans="1:5">
      <c r="A14">
        <v>347</v>
      </c>
      <c r="B14" t="s">
        <v>342</v>
      </c>
      <c r="C14" t="s">
        <v>540</v>
      </c>
      <c r="D14" t="s">
        <v>529</v>
      </c>
      <c r="E14" t="s">
        <v>519</v>
      </c>
    </row>
    <row r="15" spans="1:5">
      <c r="A15">
        <v>348</v>
      </c>
      <c r="B15" t="s">
        <v>308</v>
      </c>
      <c r="C15" t="s">
        <v>540</v>
      </c>
      <c r="D15" t="s">
        <v>529</v>
      </c>
      <c r="E15" t="s">
        <v>505</v>
      </c>
    </row>
    <row r="16" spans="1:5">
      <c r="A16">
        <v>349</v>
      </c>
      <c r="B16" t="s">
        <v>62</v>
      </c>
      <c r="C16" t="s">
        <v>540</v>
      </c>
      <c r="D16" t="s">
        <v>529</v>
      </c>
      <c r="E16" t="s">
        <v>376</v>
      </c>
    </row>
    <row r="17" spans="1:5">
      <c r="A17">
        <v>351</v>
      </c>
      <c r="B17" t="s">
        <v>58</v>
      </c>
      <c r="C17" t="s">
        <v>540</v>
      </c>
      <c r="D17" t="s">
        <v>529</v>
      </c>
      <c r="E17" t="s">
        <v>378</v>
      </c>
    </row>
    <row r="18" spans="1:5">
      <c r="A18">
        <v>352</v>
      </c>
      <c r="B18" t="s">
        <v>58</v>
      </c>
      <c r="C18" t="s">
        <v>540</v>
      </c>
      <c r="D18" t="s">
        <v>529</v>
      </c>
      <c r="E18" t="s">
        <v>381</v>
      </c>
    </row>
    <row r="19" spans="1:5">
      <c r="A19">
        <v>353</v>
      </c>
      <c r="B19" t="s">
        <v>58</v>
      </c>
      <c r="C19" t="s">
        <v>540</v>
      </c>
      <c r="D19" t="s">
        <v>529</v>
      </c>
      <c r="E19" t="s">
        <v>375</v>
      </c>
    </row>
    <row r="20" spans="1:5">
      <c r="A20">
        <v>356</v>
      </c>
      <c r="B20" t="s">
        <v>306</v>
      </c>
      <c r="C20" t="s">
        <v>540</v>
      </c>
      <c r="D20" t="s">
        <v>529</v>
      </c>
      <c r="E20" t="s">
        <v>505</v>
      </c>
    </row>
    <row r="21" spans="1:5">
      <c r="A21">
        <v>4</v>
      </c>
      <c r="B21" t="s">
        <v>193</v>
      </c>
      <c r="C21" t="s">
        <v>532</v>
      </c>
      <c r="D21" t="s">
        <v>529</v>
      </c>
      <c r="E21" t="s">
        <v>442</v>
      </c>
    </row>
    <row r="22" spans="1:5">
      <c r="A22">
        <v>17</v>
      </c>
      <c r="B22" t="s">
        <v>160</v>
      </c>
      <c r="C22" t="s">
        <v>532</v>
      </c>
      <c r="D22" t="s">
        <v>529</v>
      </c>
      <c r="E22" t="s">
        <v>423</v>
      </c>
    </row>
    <row r="23" spans="1:5">
      <c r="A23">
        <v>34</v>
      </c>
      <c r="B23" t="s">
        <v>27</v>
      </c>
      <c r="C23" t="s">
        <v>532</v>
      </c>
      <c r="D23" t="s">
        <v>529</v>
      </c>
      <c r="E23" t="s">
        <v>362</v>
      </c>
    </row>
    <row r="24" spans="1:5">
      <c r="A24">
        <v>62</v>
      </c>
      <c r="B24" t="s">
        <v>183</v>
      </c>
      <c r="C24" t="s">
        <v>532</v>
      </c>
      <c r="D24" t="s">
        <v>529</v>
      </c>
      <c r="E24" t="s">
        <v>434</v>
      </c>
    </row>
    <row r="25" spans="1:5">
      <c r="A25">
        <v>63</v>
      </c>
      <c r="B25" t="s">
        <v>140</v>
      </c>
      <c r="C25" t="s">
        <v>532</v>
      </c>
      <c r="D25" t="s">
        <v>529</v>
      </c>
      <c r="E25" t="s">
        <v>412</v>
      </c>
    </row>
    <row r="26" spans="1:5">
      <c r="A26">
        <v>64</v>
      </c>
      <c r="B26" t="s">
        <v>554</v>
      </c>
      <c r="C26" t="s">
        <v>532</v>
      </c>
      <c r="D26" t="s">
        <v>529</v>
      </c>
      <c r="E26" t="s">
        <v>381</v>
      </c>
    </row>
    <row r="27" spans="1:5">
      <c r="A27">
        <v>65</v>
      </c>
      <c r="B27" t="s">
        <v>131</v>
      </c>
      <c r="C27" t="s">
        <v>532</v>
      </c>
      <c r="D27" t="s">
        <v>529</v>
      </c>
      <c r="E27" t="s">
        <v>408</v>
      </c>
    </row>
    <row r="28" spans="1:5">
      <c r="A28">
        <v>66</v>
      </c>
      <c r="B28" t="s">
        <v>161</v>
      </c>
      <c r="C28" t="s">
        <v>532</v>
      </c>
      <c r="D28" t="s">
        <v>529</v>
      </c>
      <c r="E28" t="s">
        <v>423</v>
      </c>
    </row>
    <row r="29" spans="1:5">
      <c r="A29">
        <v>71</v>
      </c>
      <c r="B29" t="s">
        <v>34</v>
      </c>
      <c r="C29" t="s">
        <v>532</v>
      </c>
      <c r="D29" t="s">
        <v>529</v>
      </c>
      <c r="E29" t="s">
        <v>364</v>
      </c>
    </row>
    <row r="30" spans="1:5">
      <c r="A30">
        <v>81</v>
      </c>
      <c r="B30" t="s">
        <v>157</v>
      </c>
      <c r="C30" t="s">
        <v>532</v>
      </c>
      <c r="D30" t="s">
        <v>529</v>
      </c>
      <c r="E30" t="s">
        <v>421</v>
      </c>
    </row>
    <row r="31" spans="1:5">
      <c r="A31">
        <v>89</v>
      </c>
      <c r="B31" t="s">
        <v>49</v>
      </c>
      <c r="C31" t="s">
        <v>532</v>
      </c>
      <c r="D31" t="s">
        <v>529</v>
      </c>
      <c r="E31" t="s">
        <v>372</v>
      </c>
    </row>
    <row r="32" spans="1:5">
      <c r="A32">
        <v>104</v>
      </c>
      <c r="B32" t="s">
        <v>29</v>
      </c>
      <c r="C32" t="s">
        <v>532</v>
      </c>
      <c r="D32" t="s">
        <v>529</v>
      </c>
      <c r="E32" t="s">
        <v>362</v>
      </c>
    </row>
    <row r="33" spans="1:5">
      <c r="A33">
        <v>106</v>
      </c>
      <c r="B33" t="s">
        <v>16</v>
      </c>
      <c r="C33" t="s">
        <v>532</v>
      </c>
      <c r="D33" t="s">
        <v>529</v>
      </c>
      <c r="E33" t="s">
        <v>362</v>
      </c>
    </row>
    <row r="34" spans="1:5">
      <c r="A34">
        <v>107</v>
      </c>
      <c r="B34" t="s">
        <v>16</v>
      </c>
      <c r="C34" t="s">
        <v>532</v>
      </c>
      <c r="D34" t="s">
        <v>529</v>
      </c>
      <c r="E34" t="s">
        <v>355</v>
      </c>
    </row>
    <row r="35" spans="1:5">
      <c r="A35">
        <v>109</v>
      </c>
      <c r="B35" t="s">
        <v>25</v>
      </c>
      <c r="C35" t="s">
        <v>532</v>
      </c>
      <c r="D35" t="s">
        <v>529</v>
      </c>
      <c r="E35" t="s">
        <v>361</v>
      </c>
    </row>
    <row r="36" spans="1:5">
      <c r="A36">
        <v>111</v>
      </c>
      <c r="B36" t="s">
        <v>28</v>
      </c>
      <c r="C36" t="s">
        <v>532</v>
      </c>
      <c r="D36" t="s">
        <v>529</v>
      </c>
      <c r="E36" t="s">
        <v>362</v>
      </c>
    </row>
    <row r="37" spans="1:5">
      <c r="A37">
        <v>114</v>
      </c>
      <c r="B37" t="s">
        <v>163</v>
      </c>
      <c r="C37" t="s">
        <v>532</v>
      </c>
      <c r="D37" t="s">
        <v>529</v>
      </c>
      <c r="E37" t="s">
        <v>425</v>
      </c>
    </row>
    <row r="38" spans="1:5">
      <c r="A38">
        <v>115</v>
      </c>
      <c r="B38" t="s">
        <v>108</v>
      </c>
      <c r="C38" t="s">
        <v>532</v>
      </c>
      <c r="D38" t="s">
        <v>529</v>
      </c>
      <c r="E38" t="s">
        <v>397</v>
      </c>
    </row>
    <row r="39" spans="1:5">
      <c r="A39">
        <v>118</v>
      </c>
      <c r="B39" t="s">
        <v>94</v>
      </c>
      <c r="C39" t="s">
        <v>532</v>
      </c>
      <c r="D39" t="s">
        <v>529</v>
      </c>
      <c r="E39" t="s">
        <v>393</v>
      </c>
    </row>
    <row r="40" spans="1:5">
      <c r="A40">
        <v>123</v>
      </c>
      <c r="B40" t="s">
        <v>134</v>
      </c>
      <c r="C40" t="s">
        <v>532</v>
      </c>
      <c r="D40" t="s">
        <v>529</v>
      </c>
      <c r="E40" t="s">
        <v>409</v>
      </c>
    </row>
    <row r="41" spans="1:5">
      <c r="A41">
        <v>153</v>
      </c>
      <c r="B41" t="s">
        <v>33</v>
      </c>
      <c r="C41" t="s">
        <v>532</v>
      </c>
      <c r="D41" t="s">
        <v>529</v>
      </c>
      <c r="E41" t="s">
        <v>364</v>
      </c>
    </row>
    <row r="42" spans="1:5">
      <c r="A42">
        <v>167</v>
      </c>
      <c r="B42" t="s">
        <v>525</v>
      </c>
      <c r="C42" t="s">
        <v>532</v>
      </c>
      <c r="D42" t="s">
        <v>529</v>
      </c>
      <c r="E42" t="s">
        <v>364</v>
      </c>
    </row>
    <row r="43" spans="1:5">
      <c r="A43">
        <v>189</v>
      </c>
      <c r="B43" t="s">
        <v>81</v>
      </c>
      <c r="C43" t="s">
        <v>532</v>
      </c>
      <c r="D43" t="s">
        <v>529</v>
      </c>
      <c r="E43" t="s">
        <v>386</v>
      </c>
    </row>
    <row r="44" spans="1:5">
      <c r="A44">
        <v>208</v>
      </c>
      <c r="B44" t="s">
        <v>18</v>
      </c>
      <c r="C44" t="s">
        <v>532</v>
      </c>
      <c r="D44" t="s">
        <v>529</v>
      </c>
      <c r="E44" t="s">
        <v>356</v>
      </c>
    </row>
    <row r="45" spans="1:5">
      <c r="A45">
        <v>242</v>
      </c>
      <c r="B45" t="s">
        <v>68</v>
      </c>
      <c r="C45" t="s">
        <v>532</v>
      </c>
      <c r="D45" t="s">
        <v>529</v>
      </c>
      <c r="E45" t="s">
        <v>380</v>
      </c>
    </row>
    <row r="46" spans="1:5">
      <c r="A46">
        <v>254</v>
      </c>
      <c r="B46" t="s">
        <v>138</v>
      </c>
      <c r="C46" t="s">
        <v>532</v>
      </c>
      <c r="D46" t="s">
        <v>529</v>
      </c>
      <c r="E46" t="s">
        <v>410</v>
      </c>
    </row>
    <row r="47" spans="1:5">
      <c r="A47">
        <v>262</v>
      </c>
      <c r="B47" t="s">
        <v>59</v>
      </c>
      <c r="C47" t="s">
        <v>532</v>
      </c>
      <c r="D47" t="s">
        <v>529</v>
      </c>
      <c r="E47" t="s">
        <v>375</v>
      </c>
    </row>
    <row r="48" spans="1:5">
      <c r="A48">
        <v>271</v>
      </c>
      <c r="B48" t="s">
        <v>107</v>
      </c>
      <c r="C48" t="s">
        <v>532</v>
      </c>
      <c r="D48" t="s">
        <v>529</v>
      </c>
      <c r="E48" t="s">
        <v>396</v>
      </c>
    </row>
    <row r="49" spans="1:5">
      <c r="A49">
        <v>284</v>
      </c>
      <c r="B49" t="s">
        <v>26</v>
      </c>
      <c r="C49" t="s">
        <v>532</v>
      </c>
      <c r="D49" t="s">
        <v>529</v>
      </c>
      <c r="E49" t="s">
        <v>361</v>
      </c>
    </row>
    <row r="50" spans="1:5">
      <c r="A50">
        <v>290</v>
      </c>
      <c r="B50" t="s">
        <v>55</v>
      </c>
      <c r="C50" t="s">
        <v>532</v>
      </c>
      <c r="D50" t="s">
        <v>529</v>
      </c>
      <c r="E50" t="s">
        <v>373</v>
      </c>
    </row>
    <row r="51" spans="1:5">
      <c r="A51">
        <v>297</v>
      </c>
      <c r="B51" t="s">
        <v>126</v>
      </c>
      <c r="C51" t="s">
        <v>532</v>
      </c>
      <c r="D51" t="s">
        <v>529</v>
      </c>
      <c r="E51" t="s">
        <v>406</v>
      </c>
    </row>
    <row r="52" spans="1:5">
      <c r="A52">
        <v>298</v>
      </c>
      <c r="B52" t="s">
        <v>126</v>
      </c>
      <c r="C52" t="s">
        <v>532</v>
      </c>
      <c r="D52" t="s">
        <v>529</v>
      </c>
      <c r="E52" t="s">
        <v>411</v>
      </c>
    </row>
    <row r="53" spans="1:5">
      <c r="A53">
        <v>317</v>
      </c>
      <c r="B53" t="s">
        <v>1</v>
      </c>
      <c r="C53" t="s">
        <v>532</v>
      </c>
      <c r="D53" t="s">
        <v>529</v>
      </c>
      <c r="E53" t="s">
        <v>349</v>
      </c>
    </row>
    <row r="54" spans="1:5">
      <c r="A54">
        <v>320</v>
      </c>
      <c r="B54" t="s">
        <v>100</v>
      </c>
      <c r="C54" t="s">
        <v>532</v>
      </c>
      <c r="D54" t="s">
        <v>529</v>
      </c>
      <c r="E54" t="s">
        <v>395</v>
      </c>
    </row>
    <row r="55" spans="1:5">
      <c r="A55">
        <v>326</v>
      </c>
      <c r="B55" t="s">
        <v>84</v>
      </c>
      <c r="C55" t="s">
        <v>532</v>
      </c>
      <c r="D55" t="s">
        <v>529</v>
      </c>
      <c r="E55" t="s">
        <v>386</v>
      </c>
    </row>
    <row r="56" spans="1:5">
      <c r="A56">
        <v>337</v>
      </c>
      <c r="B56" t="s">
        <v>181</v>
      </c>
      <c r="C56" t="s">
        <v>532</v>
      </c>
      <c r="D56" t="s">
        <v>529</v>
      </c>
      <c r="E56" t="s">
        <v>433</v>
      </c>
    </row>
    <row r="57" spans="1:5">
      <c r="A57">
        <v>362</v>
      </c>
      <c r="B57" t="s">
        <v>70</v>
      </c>
      <c r="C57" t="s">
        <v>532</v>
      </c>
      <c r="D57" t="s">
        <v>529</v>
      </c>
      <c r="E57" t="s">
        <v>380</v>
      </c>
    </row>
    <row r="58" spans="1:5">
      <c r="A58">
        <v>373</v>
      </c>
      <c r="B58" t="s">
        <v>178</v>
      </c>
      <c r="C58" t="s">
        <v>532</v>
      </c>
      <c r="D58" t="s">
        <v>529</v>
      </c>
      <c r="E58" t="s">
        <v>439</v>
      </c>
    </row>
    <row r="59" spans="1:5">
      <c r="A59">
        <v>374</v>
      </c>
      <c r="B59" t="s">
        <v>178</v>
      </c>
      <c r="C59" t="s">
        <v>532</v>
      </c>
      <c r="D59" t="s">
        <v>529</v>
      </c>
      <c r="E59" t="s">
        <v>432</v>
      </c>
    </row>
    <row r="60" spans="1:5">
      <c r="A60">
        <v>378</v>
      </c>
      <c r="B60" t="s">
        <v>35</v>
      </c>
      <c r="C60" t="s">
        <v>532</v>
      </c>
      <c r="D60" t="s">
        <v>529</v>
      </c>
      <c r="E60" t="s">
        <v>365</v>
      </c>
    </row>
    <row r="61" spans="1:5">
      <c r="A61">
        <v>379</v>
      </c>
      <c r="B61" t="s">
        <v>35</v>
      </c>
      <c r="C61" t="s">
        <v>532</v>
      </c>
      <c r="D61" t="s">
        <v>529</v>
      </c>
      <c r="E61" t="s">
        <v>436</v>
      </c>
    </row>
    <row r="62" spans="1:5">
      <c r="A62">
        <v>380</v>
      </c>
      <c r="B62" t="s">
        <v>35</v>
      </c>
      <c r="C62" t="s">
        <v>532</v>
      </c>
      <c r="D62" t="s">
        <v>529</v>
      </c>
      <c r="E62" t="s">
        <v>433</v>
      </c>
    </row>
    <row r="63" spans="1:5">
      <c r="A63">
        <v>381</v>
      </c>
      <c r="B63" t="s">
        <v>35</v>
      </c>
      <c r="C63" t="s">
        <v>532</v>
      </c>
      <c r="D63" t="s">
        <v>529</v>
      </c>
      <c r="E63" t="s">
        <v>425</v>
      </c>
    </row>
    <row r="64" spans="1:5">
      <c r="A64">
        <v>385</v>
      </c>
      <c r="B64" t="s">
        <v>166</v>
      </c>
      <c r="C64" t="s">
        <v>532</v>
      </c>
      <c r="D64" t="s">
        <v>529</v>
      </c>
      <c r="E64" t="s">
        <v>426</v>
      </c>
    </row>
    <row r="65" spans="1:5">
      <c r="A65">
        <v>386</v>
      </c>
      <c r="B65" t="s">
        <v>166</v>
      </c>
      <c r="C65" t="s">
        <v>532</v>
      </c>
      <c r="D65" t="s">
        <v>529</v>
      </c>
      <c r="E65" t="s">
        <v>428</v>
      </c>
    </row>
    <row r="66" spans="1:5">
      <c r="A66">
        <v>387</v>
      </c>
      <c r="B66" t="s">
        <v>173</v>
      </c>
      <c r="C66" t="s">
        <v>532</v>
      </c>
      <c r="D66" t="s">
        <v>529</v>
      </c>
      <c r="E66" t="s">
        <v>429</v>
      </c>
    </row>
    <row r="67" spans="1:5">
      <c r="A67">
        <v>395</v>
      </c>
      <c r="B67" t="s">
        <v>63</v>
      </c>
      <c r="C67" t="s">
        <v>532</v>
      </c>
      <c r="D67" t="s">
        <v>529</v>
      </c>
      <c r="E67" t="s">
        <v>377</v>
      </c>
    </row>
    <row r="68" spans="1:5">
      <c r="A68">
        <v>408</v>
      </c>
      <c r="B68" t="s">
        <v>557</v>
      </c>
      <c r="C68" t="s">
        <v>532</v>
      </c>
      <c r="D68" t="s">
        <v>529</v>
      </c>
      <c r="E68" t="s">
        <v>440</v>
      </c>
    </row>
    <row r="69" spans="1:5">
      <c r="A69">
        <v>410</v>
      </c>
      <c r="B69" t="s">
        <v>190</v>
      </c>
      <c r="C69" t="s">
        <v>532</v>
      </c>
      <c r="D69" t="s">
        <v>529</v>
      </c>
      <c r="E69" t="s">
        <v>438</v>
      </c>
    </row>
    <row r="70" spans="1:5">
      <c r="A70">
        <v>1</v>
      </c>
      <c r="B70" t="s">
        <v>210</v>
      </c>
      <c r="C70" t="s">
        <v>532</v>
      </c>
      <c r="D70" t="s">
        <v>529</v>
      </c>
      <c r="E70" t="s">
        <v>452</v>
      </c>
    </row>
    <row r="71" spans="1:5">
      <c r="A71">
        <v>16</v>
      </c>
      <c r="B71" t="s">
        <v>312</v>
      </c>
      <c r="C71" t="s">
        <v>532</v>
      </c>
      <c r="D71" t="s">
        <v>529</v>
      </c>
      <c r="E71" t="s">
        <v>507</v>
      </c>
    </row>
    <row r="72" spans="1:5">
      <c r="A72">
        <v>25</v>
      </c>
      <c r="B72" t="s">
        <v>267</v>
      </c>
      <c r="C72" t="s">
        <v>532</v>
      </c>
      <c r="D72" t="s">
        <v>529</v>
      </c>
      <c r="E72" t="s">
        <v>483</v>
      </c>
    </row>
    <row r="73" spans="1:5">
      <c r="A73">
        <v>42</v>
      </c>
      <c r="B73" t="s">
        <v>297</v>
      </c>
      <c r="C73" t="s">
        <v>532</v>
      </c>
      <c r="D73" t="s">
        <v>529</v>
      </c>
      <c r="E73" t="s">
        <v>500</v>
      </c>
    </row>
    <row r="74" spans="1:5">
      <c r="A74">
        <v>51</v>
      </c>
      <c r="B74" t="s">
        <v>206</v>
      </c>
      <c r="C74" t="s">
        <v>532</v>
      </c>
      <c r="D74" t="s">
        <v>529</v>
      </c>
      <c r="E74" t="s">
        <v>450</v>
      </c>
    </row>
    <row r="75" spans="1:5">
      <c r="A75">
        <v>57</v>
      </c>
      <c r="B75" t="s">
        <v>277</v>
      </c>
      <c r="C75" t="s">
        <v>532</v>
      </c>
      <c r="D75" t="s">
        <v>529</v>
      </c>
      <c r="E75" t="s">
        <v>488</v>
      </c>
    </row>
    <row r="76" spans="1:5">
      <c r="A76">
        <v>58</v>
      </c>
      <c r="B76" t="s">
        <v>232</v>
      </c>
      <c r="C76" t="s">
        <v>532</v>
      </c>
      <c r="D76" t="s">
        <v>529</v>
      </c>
      <c r="E76" t="s">
        <v>463</v>
      </c>
    </row>
    <row r="77" spans="1:5">
      <c r="A77">
        <v>60</v>
      </c>
      <c r="B77" t="s">
        <v>563</v>
      </c>
      <c r="C77" t="s">
        <v>532</v>
      </c>
      <c r="D77" t="s">
        <v>529</v>
      </c>
      <c r="E77" t="s">
        <v>470</v>
      </c>
    </row>
    <row r="78" spans="1:5">
      <c r="A78">
        <v>70</v>
      </c>
      <c r="B78" t="s">
        <v>288</v>
      </c>
      <c r="C78" t="s">
        <v>532</v>
      </c>
      <c r="D78" t="s">
        <v>529</v>
      </c>
      <c r="E78" t="s">
        <v>496</v>
      </c>
    </row>
    <row r="79" spans="1:5">
      <c r="A79">
        <v>103</v>
      </c>
      <c r="B79" t="s">
        <v>219</v>
      </c>
      <c r="C79" t="s">
        <v>532</v>
      </c>
      <c r="D79" t="s">
        <v>529</v>
      </c>
      <c r="E79" t="s">
        <v>458</v>
      </c>
    </row>
    <row r="80" spans="1:5">
      <c r="A80">
        <v>105</v>
      </c>
      <c r="B80" t="s">
        <v>263</v>
      </c>
      <c r="C80" t="s">
        <v>532</v>
      </c>
      <c r="D80" t="s">
        <v>529</v>
      </c>
      <c r="E80" t="s">
        <v>482</v>
      </c>
    </row>
    <row r="81" spans="1:5">
      <c r="A81">
        <v>112</v>
      </c>
      <c r="B81" t="s">
        <v>28</v>
      </c>
      <c r="C81" t="s">
        <v>532</v>
      </c>
      <c r="D81" t="s">
        <v>529</v>
      </c>
      <c r="E81" t="s">
        <v>503</v>
      </c>
    </row>
    <row r="82" spans="1:5">
      <c r="A82">
        <v>113</v>
      </c>
      <c r="B82" t="s">
        <v>28</v>
      </c>
      <c r="C82" t="s">
        <v>532</v>
      </c>
      <c r="D82" t="s">
        <v>529</v>
      </c>
      <c r="E82" t="s">
        <v>524</v>
      </c>
    </row>
    <row r="83" spans="1:5">
      <c r="A83">
        <v>136</v>
      </c>
      <c r="B83" t="s">
        <v>260</v>
      </c>
      <c r="C83" t="s">
        <v>532</v>
      </c>
      <c r="D83" t="s">
        <v>529</v>
      </c>
      <c r="E83" t="s">
        <v>481</v>
      </c>
    </row>
    <row r="84" spans="1:5">
      <c r="A84">
        <v>137</v>
      </c>
      <c r="B84" t="s">
        <v>260</v>
      </c>
      <c r="C84" t="s">
        <v>532</v>
      </c>
      <c r="D84" t="s">
        <v>529</v>
      </c>
      <c r="E84" t="s">
        <v>500</v>
      </c>
    </row>
    <row r="85" spans="1:5">
      <c r="A85">
        <v>138</v>
      </c>
      <c r="B85" t="s">
        <v>260</v>
      </c>
      <c r="C85" t="s">
        <v>532</v>
      </c>
      <c r="D85" t="s">
        <v>529</v>
      </c>
      <c r="E85" t="s">
        <v>492</v>
      </c>
    </row>
    <row r="86" spans="1:5">
      <c r="A86">
        <v>139</v>
      </c>
      <c r="B86" t="s">
        <v>130</v>
      </c>
      <c r="C86" t="s">
        <v>532</v>
      </c>
      <c r="D86" t="s">
        <v>529</v>
      </c>
      <c r="E86" t="s">
        <v>407</v>
      </c>
    </row>
    <row r="87" spans="1:5">
      <c r="A87">
        <v>140</v>
      </c>
      <c r="B87" t="s">
        <v>275</v>
      </c>
      <c r="C87" t="s">
        <v>532</v>
      </c>
      <c r="D87" t="s">
        <v>529</v>
      </c>
      <c r="E87" t="s">
        <v>488</v>
      </c>
    </row>
    <row r="88" spans="1:5">
      <c r="A88">
        <v>142</v>
      </c>
      <c r="B88" t="s">
        <v>265</v>
      </c>
      <c r="C88" t="s">
        <v>532</v>
      </c>
      <c r="D88" t="s">
        <v>529</v>
      </c>
      <c r="E88" t="s">
        <v>483</v>
      </c>
    </row>
    <row r="89" spans="1:5">
      <c r="A89">
        <v>150</v>
      </c>
      <c r="B89" t="s">
        <v>222</v>
      </c>
      <c r="C89" t="s">
        <v>532</v>
      </c>
      <c r="D89" t="s">
        <v>529</v>
      </c>
      <c r="E89" t="s">
        <v>459</v>
      </c>
    </row>
    <row r="90" spans="1:5">
      <c r="A90">
        <v>165</v>
      </c>
      <c r="B90" t="s">
        <v>278</v>
      </c>
      <c r="C90" t="s">
        <v>532</v>
      </c>
      <c r="D90" t="s">
        <v>529</v>
      </c>
      <c r="E90" t="s">
        <v>488</v>
      </c>
    </row>
    <row r="91" spans="1:5">
      <c r="A91">
        <v>166</v>
      </c>
      <c r="B91" t="s">
        <v>225</v>
      </c>
      <c r="C91" t="s">
        <v>532</v>
      </c>
      <c r="D91" t="s">
        <v>529</v>
      </c>
      <c r="E91" t="s">
        <v>460</v>
      </c>
    </row>
    <row r="92" spans="1:5">
      <c r="A92">
        <v>178</v>
      </c>
      <c r="B92" t="s">
        <v>228</v>
      </c>
      <c r="C92" t="s">
        <v>532</v>
      </c>
      <c r="D92" t="s">
        <v>529</v>
      </c>
      <c r="E92" t="s">
        <v>461</v>
      </c>
    </row>
    <row r="93" spans="1:5">
      <c r="A93">
        <v>190</v>
      </c>
      <c r="B93" t="s">
        <v>348</v>
      </c>
      <c r="C93" t="s">
        <v>532</v>
      </c>
      <c r="D93" t="s">
        <v>529</v>
      </c>
      <c r="E93" t="s">
        <v>523</v>
      </c>
    </row>
    <row r="94" spans="1:5">
      <c r="A94">
        <v>192</v>
      </c>
      <c r="B94" t="s">
        <v>238</v>
      </c>
      <c r="C94" t="s">
        <v>532</v>
      </c>
      <c r="D94" t="s">
        <v>529</v>
      </c>
      <c r="E94" t="s">
        <v>466</v>
      </c>
    </row>
    <row r="95" spans="1:5">
      <c r="A95">
        <v>193</v>
      </c>
      <c r="B95" t="s">
        <v>334</v>
      </c>
      <c r="C95" t="s">
        <v>532</v>
      </c>
      <c r="D95" t="s">
        <v>529</v>
      </c>
      <c r="E95" t="s">
        <v>516</v>
      </c>
    </row>
    <row r="96" spans="1:5">
      <c r="A96">
        <v>217</v>
      </c>
      <c r="B96" t="s">
        <v>212</v>
      </c>
      <c r="C96" t="s">
        <v>532</v>
      </c>
      <c r="D96" t="s">
        <v>529</v>
      </c>
      <c r="E96" t="s">
        <v>454</v>
      </c>
    </row>
    <row r="97" spans="1:5">
      <c r="A97">
        <v>234</v>
      </c>
      <c r="B97" t="s">
        <v>243</v>
      </c>
      <c r="C97" t="s">
        <v>532</v>
      </c>
      <c r="D97" t="s">
        <v>529</v>
      </c>
      <c r="E97" t="s">
        <v>469</v>
      </c>
    </row>
    <row r="98" spans="1:5">
      <c r="A98">
        <v>263</v>
      </c>
      <c r="B98" t="s">
        <v>276</v>
      </c>
      <c r="C98" t="s">
        <v>532</v>
      </c>
      <c r="D98" t="s">
        <v>529</v>
      </c>
      <c r="E98" t="s">
        <v>488</v>
      </c>
    </row>
    <row r="99" spans="1:5">
      <c r="A99">
        <v>266</v>
      </c>
      <c r="B99" t="s">
        <v>345</v>
      </c>
      <c r="C99" t="s">
        <v>532</v>
      </c>
      <c r="D99" t="s">
        <v>529</v>
      </c>
      <c r="E99" t="s">
        <v>521</v>
      </c>
    </row>
    <row r="100" spans="1:5">
      <c r="A100">
        <v>270</v>
      </c>
      <c r="B100" t="s">
        <v>313</v>
      </c>
      <c r="C100" t="s">
        <v>532</v>
      </c>
      <c r="D100" t="s">
        <v>529</v>
      </c>
      <c r="E100" t="s">
        <v>508</v>
      </c>
    </row>
    <row r="101" spans="1:5">
      <c r="A101">
        <v>286</v>
      </c>
      <c r="B101" t="s">
        <v>266</v>
      </c>
      <c r="C101" t="s">
        <v>532</v>
      </c>
      <c r="D101" t="s">
        <v>529</v>
      </c>
      <c r="E101" t="s">
        <v>483</v>
      </c>
    </row>
    <row r="102" spans="1:5">
      <c r="A102">
        <v>330</v>
      </c>
      <c r="B102" t="s">
        <v>246</v>
      </c>
      <c r="C102" t="s">
        <v>532</v>
      </c>
      <c r="D102" t="s">
        <v>529</v>
      </c>
      <c r="E102" t="s">
        <v>473</v>
      </c>
    </row>
    <row r="103" spans="1:5">
      <c r="A103">
        <v>375</v>
      </c>
      <c r="B103" t="s">
        <v>178</v>
      </c>
      <c r="C103" t="s">
        <v>532</v>
      </c>
      <c r="D103" t="s">
        <v>529</v>
      </c>
      <c r="E103" t="s">
        <v>461</v>
      </c>
    </row>
    <row r="104" spans="1:5">
      <c r="A104">
        <v>377</v>
      </c>
      <c r="B104" t="s">
        <v>215</v>
      </c>
      <c r="C104" t="s">
        <v>532</v>
      </c>
      <c r="D104" t="s">
        <v>529</v>
      </c>
      <c r="E104" t="s">
        <v>456</v>
      </c>
    </row>
    <row r="105" spans="1:5">
      <c r="A105">
        <v>382</v>
      </c>
      <c r="B105" t="s">
        <v>326</v>
      </c>
      <c r="C105" t="s">
        <v>532</v>
      </c>
      <c r="D105" t="s">
        <v>529</v>
      </c>
      <c r="E105" t="s">
        <v>512</v>
      </c>
    </row>
    <row r="106" spans="1:5">
      <c r="A106">
        <v>384</v>
      </c>
      <c r="B106" t="s">
        <v>316</v>
      </c>
      <c r="C106" t="s">
        <v>532</v>
      </c>
      <c r="D106" t="s">
        <v>529</v>
      </c>
      <c r="E106" t="s">
        <v>509</v>
      </c>
    </row>
    <row r="107" spans="1:5">
      <c r="A107">
        <v>409</v>
      </c>
      <c r="B107" t="s">
        <v>250</v>
      </c>
      <c r="C107" t="s">
        <v>532</v>
      </c>
      <c r="D107" t="s">
        <v>529</v>
      </c>
      <c r="E107" t="s">
        <v>475</v>
      </c>
    </row>
    <row r="108" spans="1:5">
      <c r="A108">
        <v>61</v>
      </c>
      <c r="B108" t="s">
        <v>122</v>
      </c>
      <c r="C108" t="s">
        <v>577</v>
      </c>
      <c r="D108" t="s">
        <v>529</v>
      </c>
      <c r="E108" t="s">
        <v>403</v>
      </c>
    </row>
    <row r="109" spans="1:5">
      <c r="A109">
        <v>288</v>
      </c>
      <c r="B109" t="s">
        <v>223</v>
      </c>
      <c r="C109" t="s">
        <v>577</v>
      </c>
      <c r="D109" t="s">
        <v>529</v>
      </c>
      <c r="E109" t="s">
        <v>459</v>
      </c>
    </row>
    <row r="110" spans="1:5">
      <c r="A110">
        <v>358</v>
      </c>
      <c r="B110" t="s">
        <v>226</v>
      </c>
      <c r="C110" t="s">
        <v>577</v>
      </c>
      <c r="D110" t="s">
        <v>529</v>
      </c>
      <c r="E110" t="s">
        <v>460</v>
      </c>
    </row>
    <row r="111" spans="1:5">
      <c r="A111">
        <v>376</v>
      </c>
      <c r="B111" t="s">
        <v>170</v>
      </c>
      <c r="C111" t="s">
        <v>577</v>
      </c>
      <c r="D111" t="s">
        <v>529</v>
      </c>
      <c r="E111" t="s">
        <v>427</v>
      </c>
    </row>
    <row r="112" spans="1:5">
      <c r="A112">
        <v>49</v>
      </c>
      <c r="B112" t="s">
        <v>208</v>
      </c>
      <c r="C112" t="s">
        <v>536</v>
      </c>
      <c r="D112" t="s">
        <v>530</v>
      </c>
      <c r="E112" t="s">
        <v>450</v>
      </c>
    </row>
    <row r="113" spans="1:5">
      <c r="A113">
        <v>59</v>
      </c>
      <c r="B113" t="s">
        <v>8</v>
      </c>
      <c r="C113" t="s">
        <v>536</v>
      </c>
      <c r="D113" t="s">
        <v>530</v>
      </c>
      <c r="E113" t="s">
        <v>350</v>
      </c>
    </row>
    <row r="114" spans="1:5">
      <c r="A114">
        <v>77</v>
      </c>
      <c r="B114" t="s">
        <v>106</v>
      </c>
      <c r="C114" t="s">
        <v>536</v>
      </c>
      <c r="D114" t="s">
        <v>530</v>
      </c>
      <c r="E114" t="s">
        <v>396</v>
      </c>
    </row>
    <row r="115" spans="1:5">
      <c r="A115">
        <v>110</v>
      </c>
      <c r="B115" t="s">
        <v>117</v>
      </c>
      <c r="C115" t="s">
        <v>536</v>
      </c>
      <c r="D115" t="s">
        <v>530</v>
      </c>
      <c r="E115" t="s">
        <v>400</v>
      </c>
    </row>
    <row r="116" spans="1:5">
      <c r="A116">
        <v>122</v>
      </c>
      <c r="B116" t="s">
        <v>135</v>
      </c>
      <c r="C116" t="s">
        <v>536</v>
      </c>
      <c r="D116" t="s">
        <v>530</v>
      </c>
      <c r="E116" t="s">
        <v>409</v>
      </c>
    </row>
    <row r="117" spans="1:5">
      <c r="A117">
        <v>251</v>
      </c>
      <c r="B117" t="s">
        <v>48</v>
      </c>
      <c r="C117" t="s">
        <v>536</v>
      </c>
      <c r="D117" t="s">
        <v>530</v>
      </c>
      <c r="E117" t="s">
        <v>372</v>
      </c>
    </row>
    <row r="118" spans="1:5">
      <c r="A118">
        <v>274</v>
      </c>
      <c r="B118" t="s">
        <v>323</v>
      </c>
      <c r="C118" t="s">
        <v>536</v>
      </c>
      <c r="D118" t="s">
        <v>530</v>
      </c>
      <c r="E118" t="s">
        <v>511</v>
      </c>
    </row>
    <row r="119" spans="1:5">
      <c r="A119">
        <v>287</v>
      </c>
      <c r="B119" t="s">
        <v>224</v>
      </c>
      <c r="C119" t="s">
        <v>536</v>
      </c>
      <c r="D119" t="s">
        <v>530</v>
      </c>
      <c r="E119" t="s">
        <v>459</v>
      </c>
    </row>
    <row r="120" spans="1:5">
      <c r="A120">
        <v>302</v>
      </c>
      <c r="B120" t="s">
        <v>132</v>
      </c>
      <c r="C120" t="s">
        <v>536</v>
      </c>
      <c r="D120" t="s">
        <v>530</v>
      </c>
      <c r="E120" t="s">
        <v>423</v>
      </c>
    </row>
    <row r="121" spans="1:5">
      <c r="A121">
        <v>303</v>
      </c>
      <c r="B121" t="s">
        <v>132</v>
      </c>
      <c r="C121" t="s">
        <v>536</v>
      </c>
      <c r="D121" t="s">
        <v>530</v>
      </c>
      <c r="E121" t="s">
        <v>408</v>
      </c>
    </row>
    <row r="122" spans="1:5">
      <c r="A122">
        <v>364</v>
      </c>
      <c r="B122" t="s">
        <v>114</v>
      </c>
      <c r="C122" t="s">
        <v>536</v>
      </c>
      <c r="D122" t="s">
        <v>530</v>
      </c>
      <c r="E122" t="s">
        <v>399</v>
      </c>
    </row>
    <row r="123" spans="1:5">
      <c r="A123">
        <v>402</v>
      </c>
      <c r="B123" t="s">
        <v>319</v>
      </c>
      <c r="C123" t="s">
        <v>536</v>
      </c>
      <c r="D123" t="s">
        <v>530</v>
      </c>
      <c r="E123" t="s">
        <v>509</v>
      </c>
    </row>
    <row r="124" spans="1:5">
      <c r="A124">
        <v>100</v>
      </c>
      <c r="B124" t="s">
        <v>147</v>
      </c>
      <c r="C124" t="s">
        <v>536</v>
      </c>
      <c r="D124" t="s">
        <v>530</v>
      </c>
      <c r="E124" t="s">
        <v>417</v>
      </c>
    </row>
    <row r="125" spans="1:5">
      <c r="A125">
        <v>129</v>
      </c>
      <c r="B125" t="s">
        <v>236</v>
      </c>
      <c r="C125" t="s">
        <v>536</v>
      </c>
      <c r="D125" t="s">
        <v>530</v>
      </c>
      <c r="E125" t="s">
        <v>465</v>
      </c>
    </row>
    <row r="126" spans="1:5">
      <c r="A126">
        <v>174</v>
      </c>
      <c r="B126" t="s">
        <v>347</v>
      </c>
      <c r="C126" t="s">
        <v>536</v>
      </c>
      <c r="D126" t="s">
        <v>530</v>
      </c>
      <c r="E126" t="s">
        <v>522</v>
      </c>
    </row>
    <row r="127" spans="1:5">
      <c r="A127">
        <v>177</v>
      </c>
      <c r="B127" t="s">
        <v>299</v>
      </c>
      <c r="C127" t="s">
        <v>536</v>
      </c>
      <c r="D127" t="s">
        <v>530</v>
      </c>
      <c r="E127" t="s">
        <v>501</v>
      </c>
    </row>
    <row r="128" spans="1:5">
      <c r="A128">
        <v>233</v>
      </c>
      <c r="B128" t="s">
        <v>227</v>
      </c>
      <c r="C128" t="s">
        <v>536</v>
      </c>
      <c r="D128" t="s">
        <v>530</v>
      </c>
      <c r="E128" t="s">
        <v>461</v>
      </c>
    </row>
    <row r="129" spans="1:5">
      <c r="A129">
        <v>238</v>
      </c>
      <c r="B129" t="s">
        <v>171</v>
      </c>
      <c r="C129" t="s">
        <v>536</v>
      </c>
      <c r="D129" t="s">
        <v>530</v>
      </c>
      <c r="E129" t="s">
        <v>462</v>
      </c>
    </row>
    <row r="130" spans="1:5">
      <c r="A130">
        <v>239</v>
      </c>
      <c r="B130" t="s">
        <v>171</v>
      </c>
      <c r="C130" t="s">
        <v>536</v>
      </c>
      <c r="D130" t="s">
        <v>530</v>
      </c>
      <c r="E130" t="s">
        <v>427</v>
      </c>
    </row>
    <row r="131" spans="1:5">
      <c r="A131">
        <v>411</v>
      </c>
      <c r="B131" t="s">
        <v>562</v>
      </c>
      <c r="C131" t="s">
        <v>536</v>
      </c>
      <c r="D131" t="s">
        <v>530</v>
      </c>
      <c r="E131" t="s">
        <v>465</v>
      </c>
    </row>
    <row r="132" spans="1:5">
      <c r="A132">
        <v>168</v>
      </c>
      <c r="B132" t="s">
        <v>192</v>
      </c>
      <c r="C132" t="s">
        <v>551</v>
      </c>
      <c r="D132" t="s">
        <v>530</v>
      </c>
      <c r="E132" t="s">
        <v>441</v>
      </c>
    </row>
    <row r="133" spans="1:5">
      <c r="A133">
        <v>359</v>
      </c>
      <c r="B133" t="s">
        <v>332</v>
      </c>
      <c r="C133" t="s">
        <v>547</v>
      </c>
      <c r="D133" t="s">
        <v>535</v>
      </c>
      <c r="E133" t="s">
        <v>514</v>
      </c>
    </row>
    <row r="134" spans="1:5">
      <c r="A134">
        <v>407</v>
      </c>
      <c r="B134" t="s">
        <v>141</v>
      </c>
      <c r="C134" t="s">
        <v>547</v>
      </c>
      <c r="D134" t="s">
        <v>535</v>
      </c>
      <c r="E134" t="s">
        <v>413</v>
      </c>
    </row>
    <row r="135" spans="1:5">
      <c r="A135">
        <v>99</v>
      </c>
      <c r="B135" t="s">
        <v>21</v>
      </c>
      <c r="C135" t="s">
        <v>539</v>
      </c>
      <c r="D135" t="s">
        <v>535</v>
      </c>
      <c r="E135" t="s">
        <v>358</v>
      </c>
    </row>
    <row r="136" spans="1:5">
      <c r="A136">
        <v>322</v>
      </c>
      <c r="B136" t="s">
        <v>45</v>
      </c>
      <c r="C136" t="s">
        <v>539</v>
      </c>
      <c r="D136" t="s">
        <v>535</v>
      </c>
      <c r="E136" t="s">
        <v>371</v>
      </c>
    </row>
    <row r="137" spans="1:5">
      <c r="A137">
        <v>404</v>
      </c>
      <c r="B137" t="s">
        <v>337</v>
      </c>
      <c r="C137" t="s">
        <v>534</v>
      </c>
      <c r="D137" t="s">
        <v>535</v>
      </c>
      <c r="E137" t="s">
        <v>516</v>
      </c>
    </row>
    <row r="138" spans="1:5">
      <c r="A138">
        <v>5</v>
      </c>
      <c r="B138" t="s">
        <v>340</v>
      </c>
      <c r="C138" t="s">
        <v>534</v>
      </c>
      <c r="D138" t="s">
        <v>535</v>
      </c>
      <c r="E138" t="s">
        <v>517</v>
      </c>
    </row>
    <row r="139" spans="1:5">
      <c r="A139">
        <v>13</v>
      </c>
      <c r="B139" t="s">
        <v>315</v>
      </c>
      <c r="C139" t="s">
        <v>534</v>
      </c>
      <c r="D139" t="s">
        <v>535</v>
      </c>
      <c r="E139" t="s">
        <v>509</v>
      </c>
    </row>
    <row r="140" spans="1:5">
      <c r="A140">
        <v>20</v>
      </c>
      <c r="B140" t="s">
        <v>150</v>
      </c>
      <c r="C140" t="s">
        <v>534</v>
      </c>
      <c r="D140" t="s">
        <v>535</v>
      </c>
      <c r="E140" t="s">
        <v>419</v>
      </c>
    </row>
    <row r="141" spans="1:5">
      <c r="A141">
        <v>21</v>
      </c>
      <c r="B141" t="s">
        <v>203</v>
      </c>
      <c r="C141" t="s">
        <v>534</v>
      </c>
      <c r="D141" t="s">
        <v>535</v>
      </c>
      <c r="E141" t="s">
        <v>447</v>
      </c>
    </row>
    <row r="142" spans="1:5">
      <c r="A142">
        <v>43</v>
      </c>
      <c r="B142" t="s">
        <v>555</v>
      </c>
      <c r="C142" t="s">
        <v>534</v>
      </c>
      <c r="D142" t="s">
        <v>535</v>
      </c>
      <c r="E142" t="s">
        <v>381</v>
      </c>
    </row>
    <row r="143" spans="1:5">
      <c r="A143">
        <v>54</v>
      </c>
      <c r="B143" t="s">
        <v>272</v>
      </c>
      <c r="C143" t="s">
        <v>534</v>
      </c>
      <c r="D143" t="s">
        <v>535</v>
      </c>
      <c r="E143" t="s">
        <v>486</v>
      </c>
    </row>
    <row r="144" spans="1:5">
      <c r="A144">
        <v>74</v>
      </c>
      <c r="B144" t="s">
        <v>104</v>
      </c>
      <c r="C144" t="s">
        <v>534</v>
      </c>
      <c r="D144" t="s">
        <v>535</v>
      </c>
      <c r="E144" t="s">
        <v>396</v>
      </c>
    </row>
    <row r="145" spans="1:5">
      <c r="A145">
        <v>76</v>
      </c>
      <c r="B145" t="s">
        <v>91</v>
      </c>
      <c r="C145" t="s">
        <v>534</v>
      </c>
      <c r="D145" t="s">
        <v>535</v>
      </c>
      <c r="E145" t="s">
        <v>391</v>
      </c>
    </row>
    <row r="146" spans="1:5">
      <c r="A146">
        <v>94</v>
      </c>
      <c r="B146" t="s">
        <v>43</v>
      </c>
      <c r="C146" t="s">
        <v>534</v>
      </c>
      <c r="D146" t="s">
        <v>535</v>
      </c>
      <c r="E146" t="s">
        <v>370</v>
      </c>
    </row>
    <row r="147" spans="1:5">
      <c r="A147">
        <v>102</v>
      </c>
      <c r="B147" t="s">
        <v>112</v>
      </c>
      <c r="C147" t="s">
        <v>534</v>
      </c>
      <c r="D147" t="s">
        <v>535</v>
      </c>
      <c r="E147" t="s">
        <v>399</v>
      </c>
    </row>
    <row r="148" spans="1:5">
      <c r="A148">
        <v>116</v>
      </c>
      <c r="B148" t="s">
        <v>329</v>
      </c>
      <c r="C148" t="s">
        <v>534</v>
      </c>
      <c r="D148" t="s">
        <v>535</v>
      </c>
      <c r="E148" t="s">
        <v>513</v>
      </c>
    </row>
    <row r="149" spans="1:5">
      <c r="A149">
        <v>145</v>
      </c>
      <c r="B149" t="s">
        <v>148</v>
      </c>
      <c r="C149" t="s">
        <v>534</v>
      </c>
      <c r="D149" t="s">
        <v>535</v>
      </c>
      <c r="E149" t="s">
        <v>418</v>
      </c>
    </row>
    <row r="150" spans="1:5">
      <c r="A150">
        <v>146</v>
      </c>
      <c r="B150" t="s">
        <v>341</v>
      </c>
      <c r="C150" t="s">
        <v>534</v>
      </c>
      <c r="D150" t="s">
        <v>535</v>
      </c>
      <c r="E150" t="s">
        <v>518</v>
      </c>
    </row>
    <row r="151" spans="1:5">
      <c r="A151">
        <v>175</v>
      </c>
      <c r="B151" t="s">
        <v>90</v>
      </c>
      <c r="C151" t="s">
        <v>534</v>
      </c>
      <c r="D151" t="s">
        <v>535</v>
      </c>
      <c r="E151" t="s">
        <v>391</v>
      </c>
    </row>
    <row r="152" spans="1:5">
      <c r="A152">
        <v>183</v>
      </c>
      <c r="B152" t="s">
        <v>287</v>
      </c>
      <c r="C152" t="s">
        <v>534</v>
      </c>
      <c r="D152" t="s">
        <v>535</v>
      </c>
      <c r="E152" t="s">
        <v>495</v>
      </c>
    </row>
    <row r="153" spans="1:5">
      <c r="A153">
        <v>194</v>
      </c>
      <c r="B153" t="s">
        <v>53</v>
      </c>
      <c r="C153" t="s">
        <v>534</v>
      </c>
      <c r="D153" t="s">
        <v>535</v>
      </c>
      <c r="E153" t="s">
        <v>373</v>
      </c>
    </row>
    <row r="154" spans="1:5">
      <c r="A154">
        <v>197</v>
      </c>
      <c r="B154" t="s">
        <v>197</v>
      </c>
      <c r="C154" t="s">
        <v>534</v>
      </c>
      <c r="D154" t="s">
        <v>535</v>
      </c>
      <c r="E154" t="s">
        <v>443</v>
      </c>
    </row>
    <row r="155" spans="1:5">
      <c r="A155">
        <v>198</v>
      </c>
      <c r="B155" t="s">
        <v>201</v>
      </c>
      <c r="C155" t="s">
        <v>534</v>
      </c>
      <c r="D155" t="s">
        <v>535</v>
      </c>
      <c r="E155" t="s">
        <v>445</v>
      </c>
    </row>
    <row r="156" spans="1:5">
      <c r="A156">
        <v>199</v>
      </c>
      <c r="B156" t="s">
        <v>201</v>
      </c>
      <c r="C156" t="s">
        <v>534</v>
      </c>
      <c r="D156" t="s">
        <v>535</v>
      </c>
      <c r="E156" t="s">
        <v>456</v>
      </c>
    </row>
    <row r="157" spans="1:5">
      <c r="A157">
        <v>201</v>
      </c>
      <c r="B157" t="s">
        <v>249</v>
      </c>
      <c r="C157" t="s">
        <v>534</v>
      </c>
      <c r="D157" t="s">
        <v>535</v>
      </c>
      <c r="E157" t="s">
        <v>474</v>
      </c>
    </row>
    <row r="158" spans="1:5">
      <c r="A158">
        <v>257</v>
      </c>
      <c r="B158" t="s">
        <v>14</v>
      </c>
      <c r="C158" t="s">
        <v>534</v>
      </c>
      <c r="D158" t="s">
        <v>535</v>
      </c>
      <c r="E158" t="s">
        <v>354</v>
      </c>
    </row>
    <row r="159" spans="1:5">
      <c r="A159">
        <v>276</v>
      </c>
      <c r="B159" t="s">
        <v>31</v>
      </c>
      <c r="C159" t="s">
        <v>534</v>
      </c>
      <c r="D159" t="s">
        <v>535</v>
      </c>
      <c r="E159" t="s">
        <v>363</v>
      </c>
    </row>
    <row r="160" spans="1:5">
      <c r="A160">
        <v>304</v>
      </c>
      <c r="B160" t="s">
        <v>89</v>
      </c>
      <c r="C160" t="s">
        <v>534</v>
      </c>
      <c r="D160" t="s">
        <v>535</v>
      </c>
      <c r="E160" t="s">
        <v>390</v>
      </c>
    </row>
    <row r="161" spans="1:5">
      <c r="A161">
        <v>306</v>
      </c>
      <c r="B161" t="s">
        <v>5</v>
      </c>
      <c r="C161" t="s">
        <v>534</v>
      </c>
      <c r="D161" t="s">
        <v>535</v>
      </c>
      <c r="E161" t="s">
        <v>349</v>
      </c>
    </row>
    <row r="162" spans="1:5">
      <c r="A162">
        <v>307</v>
      </c>
      <c r="B162" t="s">
        <v>5</v>
      </c>
      <c r="C162" t="s">
        <v>534</v>
      </c>
      <c r="D162" t="s">
        <v>535</v>
      </c>
      <c r="E162" t="s">
        <v>383</v>
      </c>
    </row>
    <row r="163" spans="1:5">
      <c r="A163">
        <v>308</v>
      </c>
      <c r="B163" t="s">
        <v>5</v>
      </c>
      <c r="C163" t="s">
        <v>534</v>
      </c>
      <c r="D163" t="s">
        <v>535</v>
      </c>
      <c r="E163" t="s">
        <v>512</v>
      </c>
    </row>
    <row r="164" spans="1:5">
      <c r="A164">
        <v>309</v>
      </c>
      <c r="B164" t="s">
        <v>5</v>
      </c>
      <c r="C164" t="s">
        <v>534</v>
      </c>
      <c r="D164" t="s">
        <v>535</v>
      </c>
      <c r="E164" t="s">
        <v>523</v>
      </c>
    </row>
    <row r="165" spans="1:5">
      <c r="A165">
        <v>315</v>
      </c>
      <c r="B165" t="s">
        <v>3</v>
      </c>
      <c r="C165" t="s">
        <v>534</v>
      </c>
      <c r="D165" t="s">
        <v>535</v>
      </c>
      <c r="E165" t="s">
        <v>349</v>
      </c>
    </row>
    <row r="166" spans="1:5">
      <c r="A166">
        <v>318</v>
      </c>
      <c r="B166" t="s">
        <v>7</v>
      </c>
      <c r="C166" t="s">
        <v>534</v>
      </c>
      <c r="D166" t="s">
        <v>535</v>
      </c>
      <c r="E166" t="s">
        <v>349</v>
      </c>
    </row>
    <row r="167" spans="1:5">
      <c r="A167">
        <v>321</v>
      </c>
      <c r="B167" t="s">
        <v>46</v>
      </c>
      <c r="C167" t="s">
        <v>534</v>
      </c>
      <c r="D167" t="s">
        <v>535</v>
      </c>
      <c r="E167" t="s">
        <v>371</v>
      </c>
    </row>
    <row r="168" spans="1:5">
      <c r="A168">
        <v>324</v>
      </c>
      <c r="B168" t="s">
        <v>12</v>
      </c>
      <c r="C168" t="s">
        <v>534</v>
      </c>
      <c r="D168" t="s">
        <v>535</v>
      </c>
      <c r="E168" t="s">
        <v>353</v>
      </c>
    </row>
    <row r="169" spans="1:5">
      <c r="A169">
        <v>338</v>
      </c>
      <c r="B169" t="s">
        <v>346</v>
      </c>
      <c r="C169" t="s">
        <v>534</v>
      </c>
      <c r="D169" t="s">
        <v>535</v>
      </c>
      <c r="E169" t="s">
        <v>521</v>
      </c>
    </row>
    <row r="170" spans="1:5">
      <c r="A170">
        <v>339</v>
      </c>
      <c r="B170" t="s">
        <v>75</v>
      </c>
      <c r="C170" t="s">
        <v>534</v>
      </c>
      <c r="D170" t="s">
        <v>535</v>
      </c>
      <c r="E170" t="s">
        <v>383</v>
      </c>
    </row>
    <row r="171" spans="1:5">
      <c r="A171">
        <v>341</v>
      </c>
      <c r="B171" t="s">
        <v>293</v>
      </c>
      <c r="C171" t="s">
        <v>534</v>
      </c>
      <c r="D171" t="s">
        <v>535</v>
      </c>
      <c r="E171" t="s">
        <v>498</v>
      </c>
    </row>
    <row r="172" spans="1:5">
      <c r="A172">
        <v>343</v>
      </c>
      <c r="B172" t="s">
        <v>182</v>
      </c>
      <c r="C172" t="s">
        <v>534</v>
      </c>
      <c r="D172" t="s">
        <v>535</v>
      </c>
      <c r="E172" t="s">
        <v>433</v>
      </c>
    </row>
    <row r="173" spans="1:5">
      <c r="A173">
        <v>383</v>
      </c>
      <c r="B173" t="s">
        <v>325</v>
      </c>
      <c r="C173" t="s">
        <v>534</v>
      </c>
      <c r="D173" t="s">
        <v>535</v>
      </c>
      <c r="E173" t="s">
        <v>512</v>
      </c>
    </row>
    <row r="174" spans="1:5">
      <c r="A174">
        <v>403</v>
      </c>
      <c r="B174" t="s">
        <v>88</v>
      </c>
      <c r="C174" t="s">
        <v>534</v>
      </c>
      <c r="D174" t="s">
        <v>535</v>
      </c>
      <c r="E174" t="s">
        <v>389</v>
      </c>
    </row>
    <row r="175" spans="1:5">
      <c r="A175">
        <v>405</v>
      </c>
      <c r="B175" t="s">
        <v>195</v>
      </c>
      <c r="C175" t="s">
        <v>534</v>
      </c>
      <c r="D175" t="s">
        <v>535</v>
      </c>
      <c r="E175" t="s">
        <v>443</v>
      </c>
    </row>
    <row r="176" spans="1:5">
      <c r="A176">
        <v>413</v>
      </c>
      <c r="B176" t="s">
        <v>184</v>
      </c>
      <c r="C176" t="s">
        <v>534</v>
      </c>
      <c r="D176" t="s">
        <v>535</v>
      </c>
      <c r="E176" t="s">
        <v>435</v>
      </c>
    </row>
    <row r="177" spans="1:5">
      <c r="A177">
        <v>210</v>
      </c>
      <c r="B177" t="s">
        <v>553</v>
      </c>
      <c r="C177" t="s">
        <v>541</v>
      </c>
      <c r="D177" t="s">
        <v>528</v>
      </c>
      <c r="E177" t="s">
        <v>373</v>
      </c>
    </row>
    <row r="178" spans="1:5">
      <c r="A178">
        <v>258</v>
      </c>
      <c r="B178" t="s">
        <v>331</v>
      </c>
      <c r="C178" t="s">
        <v>541</v>
      </c>
      <c r="D178" t="s">
        <v>528</v>
      </c>
      <c r="E178" t="s">
        <v>513</v>
      </c>
    </row>
    <row r="179" spans="1:5">
      <c r="A179">
        <v>19</v>
      </c>
      <c r="B179" t="s">
        <v>218</v>
      </c>
      <c r="C179" t="s">
        <v>537</v>
      </c>
      <c r="D179" t="s">
        <v>528</v>
      </c>
      <c r="E179" t="s">
        <v>457</v>
      </c>
    </row>
    <row r="180" spans="1:5">
      <c r="A180">
        <v>87</v>
      </c>
      <c r="B180" t="s">
        <v>279</v>
      </c>
      <c r="C180" t="s">
        <v>537</v>
      </c>
      <c r="D180" t="s">
        <v>528</v>
      </c>
      <c r="E180" t="s">
        <v>490</v>
      </c>
    </row>
    <row r="181" spans="1:5">
      <c r="A181">
        <v>147</v>
      </c>
      <c r="B181" t="s">
        <v>10</v>
      </c>
      <c r="C181" t="s">
        <v>537</v>
      </c>
      <c r="D181" t="s">
        <v>528</v>
      </c>
      <c r="E181" t="s">
        <v>352</v>
      </c>
    </row>
    <row r="182" spans="1:5">
      <c r="A182">
        <v>237</v>
      </c>
      <c r="B182" t="s">
        <v>86</v>
      </c>
      <c r="C182" t="s">
        <v>537</v>
      </c>
      <c r="D182" t="s">
        <v>528</v>
      </c>
      <c r="E182" t="s">
        <v>387</v>
      </c>
    </row>
    <row r="183" spans="1:5">
      <c r="A183">
        <v>275</v>
      </c>
      <c r="B183" t="s">
        <v>304</v>
      </c>
      <c r="C183" t="s">
        <v>537</v>
      </c>
      <c r="D183" t="s">
        <v>528</v>
      </c>
      <c r="E183" t="s">
        <v>504</v>
      </c>
    </row>
    <row r="184" spans="1:5">
      <c r="A184">
        <v>366</v>
      </c>
      <c r="B184" t="s">
        <v>321</v>
      </c>
      <c r="C184" t="s">
        <v>537</v>
      </c>
      <c r="D184" t="s">
        <v>528</v>
      </c>
      <c r="E184" t="s">
        <v>510</v>
      </c>
    </row>
    <row r="185" spans="1:5">
      <c r="A185">
        <v>372</v>
      </c>
      <c r="B185" t="s">
        <v>164</v>
      </c>
      <c r="C185" t="s">
        <v>537</v>
      </c>
      <c r="D185" t="s">
        <v>528</v>
      </c>
      <c r="E185" t="s">
        <v>425</v>
      </c>
    </row>
    <row r="186" spans="1:5">
      <c r="A186">
        <v>23</v>
      </c>
      <c r="B186" t="s">
        <v>214</v>
      </c>
      <c r="C186" t="s">
        <v>550</v>
      </c>
      <c r="D186" t="s">
        <v>528</v>
      </c>
      <c r="E186" t="s">
        <v>456</v>
      </c>
    </row>
    <row r="187" spans="1:5">
      <c r="A187">
        <v>117</v>
      </c>
      <c r="B187" t="s">
        <v>95</v>
      </c>
      <c r="C187" t="s">
        <v>542</v>
      </c>
      <c r="D187" t="s">
        <v>528</v>
      </c>
      <c r="E187" t="s">
        <v>393</v>
      </c>
    </row>
    <row r="188" spans="1:5">
      <c r="A188">
        <v>296</v>
      </c>
      <c r="B188" t="s">
        <v>65</v>
      </c>
      <c r="C188" t="s">
        <v>542</v>
      </c>
      <c r="D188" t="s">
        <v>528</v>
      </c>
      <c r="E188" t="s">
        <v>378</v>
      </c>
    </row>
    <row r="189" spans="1:5">
      <c r="A189">
        <v>331</v>
      </c>
      <c r="B189" t="s">
        <v>310</v>
      </c>
      <c r="C189" t="s">
        <v>542</v>
      </c>
      <c r="D189" t="s">
        <v>528</v>
      </c>
      <c r="E189" t="s">
        <v>505</v>
      </c>
    </row>
    <row r="190" spans="1:5">
      <c r="A190">
        <v>121</v>
      </c>
      <c r="B190" t="s">
        <v>251</v>
      </c>
      <c r="C190" t="s">
        <v>549</v>
      </c>
      <c r="D190" t="s">
        <v>528</v>
      </c>
      <c r="E190" t="s">
        <v>477</v>
      </c>
    </row>
    <row r="191" spans="1:5">
      <c r="A191">
        <v>388</v>
      </c>
      <c r="B191" t="s">
        <v>185</v>
      </c>
      <c r="C191" t="s">
        <v>549</v>
      </c>
      <c r="D191" t="s">
        <v>528</v>
      </c>
      <c r="E191" t="s">
        <v>435</v>
      </c>
    </row>
    <row r="192" spans="1:5">
      <c r="A192">
        <v>389</v>
      </c>
      <c r="B192" t="s">
        <v>185</v>
      </c>
      <c r="C192" t="s">
        <v>549</v>
      </c>
      <c r="D192" t="s">
        <v>528</v>
      </c>
      <c r="E192" t="s">
        <v>489</v>
      </c>
    </row>
    <row r="193" spans="1:5">
      <c r="A193">
        <v>390</v>
      </c>
      <c r="B193" t="s">
        <v>185</v>
      </c>
      <c r="C193" t="s">
        <v>549</v>
      </c>
      <c r="D193" t="s">
        <v>528</v>
      </c>
      <c r="E193" t="s">
        <v>491</v>
      </c>
    </row>
    <row r="194" spans="1:5">
      <c r="A194">
        <v>391</v>
      </c>
      <c r="B194" t="s">
        <v>274</v>
      </c>
      <c r="C194" t="s">
        <v>549</v>
      </c>
      <c r="D194" t="s">
        <v>528</v>
      </c>
      <c r="E194" t="s">
        <v>487</v>
      </c>
    </row>
    <row r="195" spans="1:5">
      <c r="A195">
        <v>392</v>
      </c>
      <c r="B195" t="s">
        <v>176</v>
      </c>
      <c r="C195" t="s">
        <v>549</v>
      </c>
      <c r="D195" t="s">
        <v>528</v>
      </c>
      <c r="E195" t="s">
        <v>430</v>
      </c>
    </row>
    <row r="196" spans="1:5">
      <c r="A196">
        <v>393</v>
      </c>
      <c r="B196" t="s">
        <v>290</v>
      </c>
      <c r="C196" t="s">
        <v>549</v>
      </c>
      <c r="D196" t="s">
        <v>528</v>
      </c>
      <c r="E196" t="s">
        <v>497</v>
      </c>
    </row>
    <row r="197" spans="1:5">
      <c r="A197">
        <v>394</v>
      </c>
      <c r="B197" t="s">
        <v>229</v>
      </c>
      <c r="C197" t="s">
        <v>549</v>
      </c>
      <c r="D197" t="s">
        <v>528</v>
      </c>
      <c r="E197" t="s">
        <v>461</v>
      </c>
    </row>
    <row r="198" spans="1:5">
      <c r="A198">
        <v>398</v>
      </c>
      <c r="B198" t="s">
        <v>220</v>
      </c>
      <c r="C198" t="s">
        <v>549</v>
      </c>
      <c r="D198" t="s">
        <v>528</v>
      </c>
      <c r="E198" t="s">
        <v>458</v>
      </c>
    </row>
    <row r="199" spans="1:5">
      <c r="A199">
        <v>399</v>
      </c>
      <c r="B199" t="s">
        <v>205</v>
      </c>
      <c r="C199" t="s">
        <v>549</v>
      </c>
      <c r="D199" t="s">
        <v>528</v>
      </c>
      <c r="E199" t="s">
        <v>448</v>
      </c>
    </row>
    <row r="200" spans="1:5">
      <c r="A200">
        <v>56</v>
      </c>
      <c r="B200" t="s">
        <v>301</v>
      </c>
      <c r="C200" t="s">
        <v>543</v>
      </c>
      <c r="D200" t="s">
        <v>528</v>
      </c>
      <c r="E200" t="s">
        <v>502</v>
      </c>
    </row>
    <row r="201" spans="1:5">
      <c r="A201">
        <v>79</v>
      </c>
      <c r="B201" t="s">
        <v>209</v>
      </c>
      <c r="C201" t="s">
        <v>543</v>
      </c>
      <c r="D201" t="s">
        <v>528</v>
      </c>
      <c r="E201" t="s">
        <v>455</v>
      </c>
    </row>
    <row r="202" spans="1:5">
      <c r="A202">
        <v>80</v>
      </c>
      <c r="B202" t="s">
        <v>209</v>
      </c>
      <c r="C202" t="s">
        <v>543</v>
      </c>
      <c r="D202" t="s">
        <v>528</v>
      </c>
      <c r="E202" t="s">
        <v>451</v>
      </c>
    </row>
    <row r="203" spans="1:5">
      <c r="A203">
        <v>215</v>
      </c>
      <c r="B203" t="s">
        <v>247</v>
      </c>
      <c r="C203" t="s">
        <v>543</v>
      </c>
      <c r="D203" t="s">
        <v>528</v>
      </c>
      <c r="E203" t="s">
        <v>473</v>
      </c>
    </row>
    <row r="204" spans="1:5">
      <c r="A204">
        <v>221</v>
      </c>
      <c r="B204" t="s">
        <v>167</v>
      </c>
      <c r="C204" t="s">
        <v>543</v>
      </c>
      <c r="D204" t="s">
        <v>528</v>
      </c>
      <c r="E204" t="s">
        <v>426</v>
      </c>
    </row>
    <row r="205" spans="1:5">
      <c r="A205">
        <v>225</v>
      </c>
      <c r="B205" t="s">
        <v>120</v>
      </c>
      <c r="C205" t="s">
        <v>543</v>
      </c>
      <c r="D205" t="s">
        <v>528</v>
      </c>
      <c r="E205" t="s">
        <v>402</v>
      </c>
    </row>
    <row r="206" spans="1:5">
      <c r="A206">
        <v>249</v>
      </c>
      <c r="B206" t="s">
        <v>73</v>
      </c>
      <c r="C206" t="s">
        <v>543</v>
      </c>
      <c r="D206" t="s">
        <v>528</v>
      </c>
      <c r="E206" t="s">
        <v>382</v>
      </c>
    </row>
    <row r="207" spans="1:5">
      <c r="A207">
        <v>259</v>
      </c>
      <c r="B207" t="s">
        <v>330</v>
      </c>
      <c r="C207" t="s">
        <v>543</v>
      </c>
      <c r="D207" t="s">
        <v>528</v>
      </c>
      <c r="E207" t="s">
        <v>513</v>
      </c>
    </row>
    <row r="208" spans="1:5">
      <c r="A208">
        <v>264</v>
      </c>
      <c r="B208" t="s">
        <v>85</v>
      </c>
      <c r="C208" t="s">
        <v>543</v>
      </c>
      <c r="D208" t="s">
        <v>528</v>
      </c>
      <c r="E208" t="s">
        <v>387</v>
      </c>
    </row>
    <row r="209" spans="1:5">
      <c r="A209">
        <v>265</v>
      </c>
      <c r="B209" t="s">
        <v>85</v>
      </c>
      <c r="C209" t="s">
        <v>543</v>
      </c>
      <c r="D209" t="s">
        <v>528</v>
      </c>
      <c r="E209" t="s">
        <v>388</v>
      </c>
    </row>
    <row r="210" spans="1:5">
      <c r="A210">
        <v>361</v>
      </c>
      <c r="B210" t="s">
        <v>302</v>
      </c>
      <c r="C210" t="s">
        <v>543</v>
      </c>
      <c r="D210" t="s">
        <v>528</v>
      </c>
      <c r="E210" t="s">
        <v>502</v>
      </c>
    </row>
    <row r="211" spans="1:5">
      <c r="A211">
        <v>2</v>
      </c>
      <c r="B211" t="s">
        <v>119</v>
      </c>
      <c r="C211" t="s">
        <v>531</v>
      </c>
      <c r="D211" t="s">
        <v>528</v>
      </c>
      <c r="E211" t="s">
        <v>402</v>
      </c>
    </row>
    <row r="212" spans="1:5">
      <c r="A212">
        <v>3</v>
      </c>
      <c r="B212" t="s">
        <v>289</v>
      </c>
      <c r="C212" t="s">
        <v>531</v>
      </c>
      <c r="D212" t="s">
        <v>528</v>
      </c>
      <c r="E212" t="s">
        <v>497</v>
      </c>
    </row>
    <row r="213" spans="1:5">
      <c r="A213">
        <v>6</v>
      </c>
      <c r="B213" t="s">
        <v>339</v>
      </c>
      <c r="C213" t="s">
        <v>531</v>
      </c>
      <c r="D213" t="s">
        <v>528</v>
      </c>
      <c r="E213" t="s">
        <v>517</v>
      </c>
    </row>
    <row r="214" spans="1:5">
      <c r="A214">
        <v>7</v>
      </c>
      <c r="B214" t="s">
        <v>198</v>
      </c>
      <c r="C214" t="s">
        <v>531</v>
      </c>
      <c r="D214" t="s">
        <v>528</v>
      </c>
      <c r="E214" t="s">
        <v>443</v>
      </c>
    </row>
    <row r="215" spans="1:5">
      <c r="A215">
        <v>8</v>
      </c>
      <c r="B215" t="s">
        <v>198</v>
      </c>
      <c r="C215" t="s">
        <v>531</v>
      </c>
      <c r="D215" t="s">
        <v>528</v>
      </c>
      <c r="E215" t="s">
        <v>446</v>
      </c>
    </row>
    <row r="216" spans="1:5">
      <c r="A216">
        <v>12</v>
      </c>
      <c r="B216" t="s">
        <v>154</v>
      </c>
      <c r="C216" t="s">
        <v>531</v>
      </c>
      <c r="D216" t="s">
        <v>528</v>
      </c>
      <c r="E216" t="s">
        <v>420</v>
      </c>
    </row>
    <row r="217" spans="1:5">
      <c r="A217">
        <v>14</v>
      </c>
      <c r="B217" t="s">
        <v>273</v>
      </c>
      <c r="C217" t="s">
        <v>531</v>
      </c>
      <c r="D217" t="s">
        <v>528</v>
      </c>
      <c r="E217" t="s">
        <v>487</v>
      </c>
    </row>
    <row r="218" spans="1:5">
      <c r="A218">
        <v>18</v>
      </c>
      <c r="B218" t="s">
        <v>527</v>
      </c>
      <c r="C218" t="s">
        <v>531</v>
      </c>
      <c r="D218" t="s">
        <v>528</v>
      </c>
      <c r="E218" t="s">
        <v>506</v>
      </c>
    </row>
    <row r="219" spans="1:5">
      <c r="A219">
        <v>22</v>
      </c>
      <c r="B219" t="s">
        <v>149</v>
      </c>
      <c r="C219" t="s">
        <v>531</v>
      </c>
      <c r="D219" t="s">
        <v>528</v>
      </c>
      <c r="E219" t="s">
        <v>419</v>
      </c>
    </row>
    <row r="220" spans="1:5">
      <c r="A220">
        <v>24</v>
      </c>
      <c r="B220" t="s">
        <v>64</v>
      </c>
      <c r="C220" t="s">
        <v>531</v>
      </c>
      <c r="D220" t="s">
        <v>528</v>
      </c>
      <c r="E220" t="s">
        <v>378</v>
      </c>
    </row>
    <row r="221" spans="1:5">
      <c r="A221">
        <v>35</v>
      </c>
      <c r="B221" t="s">
        <v>30</v>
      </c>
      <c r="C221" t="s">
        <v>531</v>
      </c>
      <c r="D221" t="s">
        <v>528</v>
      </c>
      <c r="E221" t="s">
        <v>363</v>
      </c>
    </row>
    <row r="222" spans="1:5">
      <c r="A222">
        <v>36</v>
      </c>
      <c r="B222" t="s">
        <v>186</v>
      </c>
      <c r="C222" t="s">
        <v>531</v>
      </c>
      <c r="D222" t="s">
        <v>528</v>
      </c>
      <c r="E222" t="s">
        <v>436</v>
      </c>
    </row>
    <row r="223" spans="1:5">
      <c r="A223">
        <v>37</v>
      </c>
      <c r="B223" t="s">
        <v>9</v>
      </c>
      <c r="C223" t="s">
        <v>531</v>
      </c>
      <c r="D223" t="s">
        <v>528</v>
      </c>
      <c r="E223" t="s">
        <v>351</v>
      </c>
    </row>
    <row r="224" spans="1:5">
      <c r="A224">
        <v>41</v>
      </c>
      <c r="B224" t="s">
        <v>159</v>
      </c>
      <c r="C224" t="s">
        <v>531</v>
      </c>
      <c r="D224" t="s">
        <v>528</v>
      </c>
      <c r="E224" t="s">
        <v>422</v>
      </c>
    </row>
    <row r="225" spans="1:5">
      <c r="A225">
        <v>45</v>
      </c>
      <c r="B225" t="s">
        <v>241</v>
      </c>
      <c r="C225" t="s">
        <v>531</v>
      </c>
      <c r="D225" t="s">
        <v>528</v>
      </c>
      <c r="E225" t="s">
        <v>468</v>
      </c>
    </row>
    <row r="226" spans="1:5">
      <c r="A226">
        <v>46</v>
      </c>
      <c r="B226" t="s">
        <v>216</v>
      </c>
      <c r="C226" t="s">
        <v>531</v>
      </c>
      <c r="D226" t="s">
        <v>528</v>
      </c>
      <c r="E226" t="s">
        <v>456</v>
      </c>
    </row>
    <row r="227" spans="1:5">
      <c r="A227">
        <v>47</v>
      </c>
      <c r="B227" t="s">
        <v>317</v>
      </c>
      <c r="C227" t="s">
        <v>531</v>
      </c>
      <c r="D227" t="s">
        <v>528</v>
      </c>
      <c r="E227" t="s">
        <v>509</v>
      </c>
    </row>
    <row r="228" spans="1:5">
      <c r="A228">
        <v>48</v>
      </c>
      <c r="B228" t="s">
        <v>142</v>
      </c>
      <c r="C228" t="s">
        <v>531</v>
      </c>
      <c r="D228" t="s">
        <v>528</v>
      </c>
      <c r="E228" t="s">
        <v>414</v>
      </c>
    </row>
    <row r="229" spans="1:5">
      <c r="A229">
        <v>67</v>
      </c>
      <c r="B229" t="s">
        <v>99</v>
      </c>
      <c r="C229" t="s">
        <v>531</v>
      </c>
      <c r="D229" t="s">
        <v>528</v>
      </c>
      <c r="E229" t="s">
        <v>395</v>
      </c>
    </row>
    <row r="230" spans="1:5">
      <c r="A230">
        <v>68</v>
      </c>
      <c r="B230" t="s">
        <v>564</v>
      </c>
      <c r="C230" t="s">
        <v>531</v>
      </c>
      <c r="D230" t="s">
        <v>528</v>
      </c>
      <c r="E230" t="s">
        <v>472</v>
      </c>
    </row>
    <row r="231" spans="1:5">
      <c r="A231">
        <v>69</v>
      </c>
      <c r="B231" t="s">
        <v>556</v>
      </c>
      <c r="C231" t="s">
        <v>531</v>
      </c>
      <c r="D231" t="s">
        <v>528</v>
      </c>
      <c r="E231" t="s">
        <v>390</v>
      </c>
    </row>
    <row r="232" spans="1:5">
      <c r="A232">
        <v>72</v>
      </c>
      <c r="B232" t="s">
        <v>71</v>
      </c>
      <c r="C232" t="s">
        <v>531</v>
      </c>
      <c r="D232" t="s">
        <v>528</v>
      </c>
      <c r="E232" t="s">
        <v>381</v>
      </c>
    </row>
    <row r="233" spans="1:5">
      <c r="A233">
        <v>73</v>
      </c>
      <c r="B233" t="s">
        <v>156</v>
      </c>
      <c r="C233" t="s">
        <v>531</v>
      </c>
      <c r="D233" t="s">
        <v>528</v>
      </c>
      <c r="E233" t="s">
        <v>421</v>
      </c>
    </row>
    <row r="234" spans="1:5">
      <c r="A234">
        <v>82</v>
      </c>
      <c r="B234" t="s">
        <v>298</v>
      </c>
      <c r="C234" t="s">
        <v>531</v>
      </c>
      <c r="D234" t="s">
        <v>528</v>
      </c>
      <c r="E234" t="s">
        <v>501</v>
      </c>
    </row>
    <row r="235" spans="1:5">
      <c r="A235">
        <v>83</v>
      </c>
      <c r="B235" t="s">
        <v>566</v>
      </c>
      <c r="C235" t="s">
        <v>531</v>
      </c>
      <c r="D235" t="s">
        <v>528</v>
      </c>
      <c r="E235" t="s">
        <v>476</v>
      </c>
    </row>
    <row r="236" spans="1:5">
      <c r="A236">
        <v>84</v>
      </c>
      <c r="B236" t="s">
        <v>343</v>
      </c>
      <c r="C236" t="s">
        <v>531</v>
      </c>
      <c r="D236" t="s">
        <v>528</v>
      </c>
      <c r="E236" t="s">
        <v>520</v>
      </c>
    </row>
    <row r="237" spans="1:5">
      <c r="A237">
        <v>85</v>
      </c>
      <c r="B237" t="s">
        <v>151</v>
      </c>
      <c r="C237" t="s">
        <v>531</v>
      </c>
      <c r="D237" t="s">
        <v>528</v>
      </c>
      <c r="E237" t="s">
        <v>419</v>
      </c>
    </row>
    <row r="238" spans="1:5">
      <c r="A238">
        <v>86</v>
      </c>
      <c r="B238" t="s">
        <v>133</v>
      </c>
      <c r="C238" t="s">
        <v>531</v>
      </c>
      <c r="D238" t="s">
        <v>528</v>
      </c>
      <c r="E238" t="s">
        <v>408</v>
      </c>
    </row>
    <row r="239" spans="1:5">
      <c r="A239">
        <v>88</v>
      </c>
      <c r="B239" t="s">
        <v>50</v>
      </c>
      <c r="C239" t="s">
        <v>531</v>
      </c>
      <c r="D239" t="s">
        <v>528</v>
      </c>
      <c r="E239" t="s">
        <v>372</v>
      </c>
    </row>
    <row r="240" spans="1:5">
      <c r="A240">
        <v>90</v>
      </c>
      <c r="B240" t="s">
        <v>158</v>
      </c>
      <c r="C240" t="s">
        <v>531</v>
      </c>
      <c r="D240" t="s">
        <v>528</v>
      </c>
      <c r="E240" t="s">
        <v>422</v>
      </c>
    </row>
    <row r="241" spans="1:5">
      <c r="A241">
        <v>91</v>
      </c>
      <c r="B241" t="s">
        <v>196</v>
      </c>
      <c r="C241" t="s">
        <v>531</v>
      </c>
      <c r="D241" t="s">
        <v>528</v>
      </c>
      <c r="E241" t="s">
        <v>443</v>
      </c>
    </row>
    <row r="242" spans="1:5">
      <c r="A242">
        <v>92</v>
      </c>
      <c r="B242" t="s">
        <v>111</v>
      </c>
      <c r="C242" t="s">
        <v>531</v>
      </c>
      <c r="D242" t="s">
        <v>528</v>
      </c>
      <c r="E242" t="s">
        <v>398</v>
      </c>
    </row>
    <row r="243" spans="1:5">
      <c r="A243">
        <v>93</v>
      </c>
      <c r="B243" t="s">
        <v>204</v>
      </c>
      <c r="C243" t="s">
        <v>531</v>
      </c>
      <c r="D243" t="s">
        <v>528</v>
      </c>
      <c r="E243" t="s">
        <v>448</v>
      </c>
    </row>
    <row r="244" spans="1:5">
      <c r="A244">
        <v>95</v>
      </c>
      <c r="B244" t="s">
        <v>69</v>
      </c>
      <c r="C244" t="s">
        <v>531</v>
      </c>
      <c r="D244" t="s">
        <v>528</v>
      </c>
      <c r="E244" t="s">
        <v>380</v>
      </c>
    </row>
    <row r="245" spans="1:5">
      <c r="A245">
        <v>96</v>
      </c>
      <c r="B245" t="s">
        <v>162</v>
      </c>
      <c r="C245" t="s">
        <v>531</v>
      </c>
      <c r="D245" t="s">
        <v>528</v>
      </c>
      <c r="E245" t="s">
        <v>424</v>
      </c>
    </row>
    <row r="246" spans="1:5">
      <c r="A246">
        <v>97</v>
      </c>
      <c r="B246" t="s">
        <v>143</v>
      </c>
      <c r="C246" t="s">
        <v>531</v>
      </c>
      <c r="D246" t="s">
        <v>528</v>
      </c>
      <c r="E246" t="s">
        <v>415</v>
      </c>
    </row>
    <row r="247" spans="1:5">
      <c r="A247">
        <v>101</v>
      </c>
      <c r="B247" t="s">
        <v>121</v>
      </c>
      <c r="C247" t="s">
        <v>531</v>
      </c>
      <c r="D247" t="s">
        <v>528</v>
      </c>
      <c r="E247" t="s">
        <v>403</v>
      </c>
    </row>
    <row r="248" spans="1:5">
      <c r="A248">
        <v>108</v>
      </c>
      <c r="B248" t="s">
        <v>262</v>
      </c>
      <c r="C248" t="s">
        <v>531</v>
      </c>
      <c r="D248" t="s">
        <v>528</v>
      </c>
      <c r="E248" t="s">
        <v>482</v>
      </c>
    </row>
    <row r="249" spans="1:5">
      <c r="A249">
        <v>120</v>
      </c>
      <c r="B249" t="s">
        <v>22</v>
      </c>
      <c r="C249" t="s">
        <v>531</v>
      </c>
      <c r="D249" t="s">
        <v>528</v>
      </c>
      <c r="E249" t="s">
        <v>359</v>
      </c>
    </row>
    <row r="250" spans="1:5">
      <c r="A250">
        <v>124</v>
      </c>
      <c r="B250" t="s">
        <v>24</v>
      </c>
      <c r="C250" t="s">
        <v>531</v>
      </c>
      <c r="D250" t="s">
        <v>528</v>
      </c>
      <c r="E250" t="s">
        <v>362</v>
      </c>
    </row>
    <row r="251" spans="1:5">
      <c r="A251">
        <v>125</v>
      </c>
      <c r="B251" t="s">
        <v>24</v>
      </c>
      <c r="C251" t="s">
        <v>531</v>
      </c>
      <c r="D251" t="s">
        <v>528</v>
      </c>
      <c r="E251" t="s">
        <v>360</v>
      </c>
    </row>
    <row r="252" spans="1:5">
      <c r="A252">
        <v>126</v>
      </c>
      <c r="B252" t="s">
        <v>282</v>
      </c>
      <c r="C252" t="s">
        <v>531</v>
      </c>
      <c r="D252" t="s">
        <v>528</v>
      </c>
      <c r="E252" t="s">
        <v>493</v>
      </c>
    </row>
    <row r="253" spans="1:5">
      <c r="A253">
        <v>127</v>
      </c>
      <c r="B253" t="s">
        <v>291</v>
      </c>
      <c r="C253" t="s">
        <v>531</v>
      </c>
      <c r="D253" t="s">
        <v>528</v>
      </c>
      <c r="E253" t="s">
        <v>497</v>
      </c>
    </row>
    <row r="254" spans="1:5">
      <c r="A254">
        <v>128</v>
      </c>
      <c r="B254" t="s">
        <v>295</v>
      </c>
      <c r="C254" t="s">
        <v>531</v>
      </c>
      <c r="D254" t="s">
        <v>528</v>
      </c>
      <c r="E254" t="s">
        <v>499</v>
      </c>
    </row>
    <row r="255" spans="1:5">
      <c r="A255">
        <v>133</v>
      </c>
      <c r="B255" t="s">
        <v>13</v>
      </c>
      <c r="C255" t="s">
        <v>531</v>
      </c>
      <c r="D255" t="s">
        <v>528</v>
      </c>
      <c r="E255" t="s">
        <v>354</v>
      </c>
    </row>
    <row r="256" spans="1:5">
      <c r="A256">
        <v>134</v>
      </c>
      <c r="B256" t="s">
        <v>72</v>
      </c>
      <c r="C256" t="s">
        <v>531</v>
      </c>
      <c r="D256" t="s">
        <v>528</v>
      </c>
      <c r="E256" t="s">
        <v>382</v>
      </c>
    </row>
    <row r="257" spans="1:5">
      <c r="A257">
        <v>141</v>
      </c>
      <c r="B257" t="s">
        <v>109</v>
      </c>
      <c r="C257" t="s">
        <v>531</v>
      </c>
      <c r="D257" t="s">
        <v>528</v>
      </c>
      <c r="E257" t="s">
        <v>397</v>
      </c>
    </row>
    <row r="258" spans="1:5">
      <c r="A258">
        <v>143</v>
      </c>
      <c r="B258" t="s">
        <v>230</v>
      </c>
      <c r="C258" t="s">
        <v>531</v>
      </c>
      <c r="D258" t="s">
        <v>528</v>
      </c>
      <c r="E258" t="s">
        <v>462</v>
      </c>
    </row>
    <row r="259" spans="1:5">
      <c r="A259">
        <v>144</v>
      </c>
      <c r="B259" t="s">
        <v>231</v>
      </c>
      <c r="C259" t="s">
        <v>531</v>
      </c>
      <c r="D259" t="s">
        <v>528</v>
      </c>
      <c r="E259" t="s">
        <v>462</v>
      </c>
    </row>
    <row r="260" spans="1:5">
      <c r="A260">
        <v>154</v>
      </c>
      <c r="B260" t="s">
        <v>125</v>
      </c>
      <c r="C260" t="s">
        <v>531</v>
      </c>
      <c r="D260" t="s">
        <v>528</v>
      </c>
      <c r="E260" t="s">
        <v>405</v>
      </c>
    </row>
    <row r="261" spans="1:5">
      <c r="A261">
        <v>155</v>
      </c>
      <c r="B261" t="s">
        <v>125</v>
      </c>
      <c r="C261" t="s">
        <v>531</v>
      </c>
      <c r="D261" t="s">
        <v>528</v>
      </c>
      <c r="E261" t="s">
        <v>420</v>
      </c>
    </row>
    <row r="262" spans="1:5">
      <c r="A262">
        <v>156</v>
      </c>
      <c r="B262" t="s">
        <v>560</v>
      </c>
      <c r="C262" t="s">
        <v>531</v>
      </c>
      <c r="D262" t="s">
        <v>528</v>
      </c>
      <c r="E262" t="s">
        <v>453</v>
      </c>
    </row>
    <row r="263" spans="1:5">
      <c r="A263">
        <v>157</v>
      </c>
      <c r="B263" t="s">
        <v>200</v>
      </c>
      <c r="C263" t="s">
        <v>531</v>
      </c>
      <c r="D263" t="s">
        <v>528</v>
      </c>
      <c r="E263" t="s">
        <v>444</v>
      </c>
    </row>
    <row r="264" spans="1:5">
      <c r="A264">
        <v>159</v>
      </c>
      <c r="B264" t="s">
        <v>172</v>
      </c>
      <c r="C264" t="s">
        <v>531</v>
      </c>
      <c r="D264" t="s">
        <v>528</v>
      </c>
      <c r="E264" t="s">
        <v>428</v>
      </c>
    </row>
    <row r="265" spans="1:5">
      <c r="A265">
        <v>160</v>
      </c>
      <c r="B265" t="s">
        <v>123</v>
      </c>
      <c r="C265" t="s">
        <v>531</v>
      </c>
      <c r="D265" t="s">
        <v>528</v>
      </c>
      <c r="E265" t="s">
        <v>404</v>
      </c>
    </row>
    <row r="266" spans="1:5">
      <c r="A266">
        <v>161</v>
      </c>
      <c r="B266" t="s">
        <v>292</v>
      </c>
      <c r="C266" t="s">
        <v>531</v>
      </c>
      <c r="D266" t="s">
        <v>528</v>
      </c>
      <c r="E266" t="s">
        <v>497</v>
      </c>
    </row>
    <row r="267" spans="1:5">
      <c r="A267">
        <v>163</v>
      </c>
      <c r="B267" t="s">
        <v>40</v>
      </c>
      <c r="C267" t="s">
        <v>531</v>
      </c>
      <c r="D267" t="s">
        <v>528</v>
      </c>
      <c r="E267" t="s">
        <v>369</v>
      </c>
    </row>
    <row r="268" spans="1:5">
      <c r="A268">
        <v>164</v>
      </c>
      <c r="B268" t="s">
        <v>322</v>
      </c>
      <c r="C268" t="s">
        <v>531</v>
      </c>
      <c r="D268" t="s">
        <v>528</v>
      </c>
      <c r="E268" t="s">
        <v>511</v>
      </c>
    </row>
    <row r="269" spans="1:5">
      <c r="A269">
        <v>170</v>
      </c>
      <c r="B269" t="s">
        <v>175</v>
      </c>
      <c r="C269" t="s">
        <v>531</v>
      </c>
      <c r="D269" t="s">
        <v>528</v>
      </c>
      <c r="E269" t="s">
        <v>429</v>
      </c>
    </row>
    <row r="270" spans="1:5">
      <c r="A270">
        <v>171</v>
      </c>
      <c r="B270" t="s">
        <v>77</v>
      </c>
      <c r="C270" t="s">
        <v>531</v>
      </c>
      <c r="D270" t="s">
        <v>528</v>
      </c>
      <c r="E270" t="s">
        <v>383</v>
      </c>
    </row>
    <row r="271" spans="1:5">
      <c r="A271">
        <v>172</v>
      </c>
      <c r="B271" t="s">
        <v>240</v>
      </c>
      <c r="C271" t="s">
        <v>531</v>
      </c>
      <c r="D271" t="s">
        <v>528</v>
      </c>
      <c r="E271" t="s">
        <v>467</v>
      </c>
    </row>
    <row r="272" spans="1:5">
      <c r="A272">
        <v>176</v>
      </c>
      <c r="B272" t="s">
        <v>303</v>
      </c>
      <c r="C272" t="s">
        <v>531</v>
      </c>
      <c r="D272" t="s">
        <v>528</v>
      </c>
      <c r="E272" t="s">
        <v>503</v>
      </c>
    </row>
    <row r="273" spans="1:5">
      <c r="A273">
        <v>180</v>
      </c>
      <c r="B273" t="s">
        <v>39</v>
      </c>
      <c r="C273" t="s">
        <v>531</v>
      </c>
      <c r="D273" t="s">
        <v>528</v>
      </c>
      <c r="E273" t="s">
        <v>385</v>
      </c>
    </row>
    <row r="274" spans="1:5">
      <c r="A274">
        <v>181</v>
      </c>
      <c r="B274" t="s">
        <v>39</v>
      </c>
      <c r="C274" t="s">
        <v>531</v>
      </c>
      <c r="D274" t="s">
        <v>528</v>
      </c>
      <c r="E274" t="s">
        <v>369</v>
      </c>
    </row>
    <row r="275" spans="1:5">
      <c r="A275">
        <v>182</v>
      </c>
      <c r="B275" t="s">
        <v>97</v>
      </c>
      <c r="C275" t="s">
        <v>531</v>
      </c>
      <c r="D275" t="s">
        <v>528</v>
      </c>
      <c r="E275" t="s">
        <v>394</v>
      </c>
    </row>
    <row r="276" spans="1:5">
      <c r="A276">
        <v>184</v>
      </c>
      <c r="B276" t="s">
        <v>259</v>
      </c>
      <c r="C276" t="s">
        <v>531</v>
      </c>
      <c r="D276" t="s">
        <v>528</v>
      </c>
      <c r="E276" t="s">
        <v>481</v>
      </c>
    </row>
    <row r="277" spans="1:5">
      <c r="A277">
        <v>185</v>
      </c>
      <c r="B277" t="s">
        <v>174</v>
      </c>
      <c r="C277" t="s">
        <v>531</v>
      </c>
      <c r="D277" t="s">
        <v>528</v>
      </c>
      <c r="E277" t="s">
        <v>429</v>
      </c>
    </row>
    <row r="278" spans="1:5">
      <c r="A278">
        <v>186</v>
      </c>
      <c r="B278" t="s">
        <v>268</v>
      </c>
      <c r="C278" t="s">
        <v>531</v>
      </c>
      <c r="D278" t="s">
        <v>528</v>
      </c>
      <c r="E278" t="s">
        <v>484</v>
      </c>
    </row>
    <row r="279" spans="1:5">
      <c r="A279">
        <v>191</v>
      </c>
      <c r="B279" t="s">
        <v>17</v>
      </c>
      <c r="C279" t="s">
        <v>531</v>
      </c>
      <c r="D279" t="s">
        <v>528</v>
      </c>
      <c r="E279" t="s">
        <v>356</v>
      </c>
    </row>
    <row r="280" spans="1:5">
      <c r="A280">
        <v>195</v>
      </c>
      <c r="B280" t="s">
        <v>87</v>
      </c>
      <c r="C280" t="s">
        <v>531</v>
      </c>
      <c r="D280" t="s">
        <v>528</v>
      </c>
      <c r="E280" t="s">
        <v>387</v>
      </c>
    </row>
    <row r="281" spans="1:5">
      <c r="A281">
        <v>196</v>
      </c>
      <c r="B281" t="s">
        <v>80</v>
      </c>
      <c r="C281" t="s">
        <v>531</v>
      </c>
      <c r="D281" t="s">
        <v>528</v>
      </c>
      <c r="E281" t="s">
        <v>386</v>
      </c>
    </row>
    <row r="282" spans="1:5">
      <c r="A282">
        <v>200</v>
      </c>
      <c r="B282" t="s">
        <v>98</v>
      </c>
      <c r="C282" t="s">
        <v>531</v>
      </c>
      <c r="D282" t="s">
        <v>528</v>
      </c>
      <c r="E282" t="s">
        <v>394</v>
      </c>
    </row>
    <row r="283" spans="1:5">
      <c r="A283">
        <v>202</v>
      </c>
      <c r="B283" t="s">
        <v>67</v>
      </c>
      <c r="C283" t="s">
        <v>531</v>
      </c>
      <c r="D283" t="s">
        <v>528</v>
      </c>
      <c r="E283" t="s">
        <v>380</v>
      </c>
    </row>
    <row r="284" spans="1:5">
      <c r="A284">
        <v>203</v>
      </c>
      <c r="B284" t="s">
        <v>320</v>
      </c>
      <c r="C284" t="s">
        <v>531</v>
      </c>
      <c r="D284" t="s">
        <v>528</v>
      </c>
      <c r="E284" t="s">
        <v>510</v>
      </c>
    </row>
    <row r="285" spans="1:5">
      <c r="A285">
        <v>207</v>
      </c>
      <c r="B285" t="s">
        <v>305</v>
      </c>
      <c r="C285" t="s">
        <v>531</v>
      </c>
      <c r="D285" t="s">
        <v>528</v>
      </c>
      <c r="E285" t="s">
        <v>505</v>
      </c>
    </row>
    <row r="286" spans="1:5">
      <c r="A286">
        <v>209</v>
      </c>
      <c r="B286" t="s">
        <v>54</v>
      </c>
      <c r="C286" t="s">
        <v>531</v>
      </c>
      <c r="D286" t="s">
        <v>528</v>
      </c>
      <c r="E286" t="s">
        <v>373</v>
      </c>
    </row>
    <row r="287" spans="1:5">
      <c r="A287">
        <v>211</v>
      </c>
      <c r="B287" t="s">
        <v>146</v>
      </c>
      <c r="C287" t="s">
        <v>531</v>
      </c>
      <c r="D287" t="s">
        <v>528</v>
      </c>
      <c r="E287" t="s">
        <v>416</v>
      </c>
    </row>
    <row r="288" spans="1:5">
      <c r="A288">
        <v>218</v>
      </c>
      <c r="B288" t="s">
        <v>136</v>
      </c>
      <c r="C288" t="s">
        <v>531</v>
      </c>
      <c r="D288" t="s">
        <v>528</v>
      </c>
      <c r="E288" t="s">
        <v>410</v>
      </c>
    </row>
    <row r="289" spans="1:5">
      <c r="A289">
        <v>219</v>
      </c>
      <c r="B289" t="s">
        <v>136</v>
      </c>
      <c r="C289" t="s">
        <v>531</v>
      </c>
      <c r="D289" t="s">
        <v>528</v>
      </c>
      <c r="E289" t="s">
        <v>414</v>
      </c>
    </row>
    <row r="290" spans="1:5">
      <c r="A290">
        <v>220</v>
      </c>
      <c r="B290" t="s">
        <v>561</v>
      </c>
      <c r="C290" t="s">
        <v>531</v>
      </c>
      <c r="D290" t="s">
        <v>528</v>
      </c>
      <c r="E290" t="s">
        <v>453</v>
      </c>
    </row>
    <row r="291" spans="1:5">
      <c r="A291">
        <v>222</v>
      </c>
      <c r="B291" t="s">
        <v>336</v>
      </c>
      <c r="C291" t="s">
        <v>531</v>
      </c>
      <c r="D291" t="s">
        <v>528</v>
      </c>
      <c r="E291" t="s">
        <v>516</v>
      </c>
    </row>
    <row r="292" spans="1:5">
      <c r="A292">
        <v>223</v>
      </c>
      <c r="B292" t="s">
        <v>120</v>
      </c>
      <c r="C292" t="s">
        <v>531</v>
      </c>
      <c r="D292" t="s">
        <v>528</v>
      </c>
      <c r="E292" t="s">
        <v>431</v>
      </c>
    </row>
    <row r="293" spans="1:5">
      <c r="A293">
        <v>224</v>
      </c>
      <c r="B293" t="s">
        <v>120</v>
      </c>
      <c r="C293" t="s">
        <v>531</v>
      </c>
      <c r="D293" t="s">
        <v>528</v>
      </c>
      <c r="E293" t="s">
        <v>436</v>
      </c>
    </row>
    <row r="294" spans="1:5">
      <c r="A294">
        <v>226</v>
      </c>
      <c r="B294" t="s">
        <v>237</v>
      </c>
      <c r="C294" t="s">
        <v>531</v>
      </c>
      <c r="D294" t="s">
        <v>528</v>
      </c>
      <c r="E294" t="s">
        <v>465</v>
      </c>
    </row>
    <row r="295" spans="1:5">
      <c r="A295">
        <v>228</v>
      </c>
      <c r="B295" t="s">
        <v>253</v>
      </c>
      <c r="C295" t="s">
        <v>531</v>
      </c>
      <c r="D295" t="s">
        <v>528</v>
      </c>
      <c r="E295" t="s">
        <v>477</v>
      </c>
    </row>
    <row r="296" spans="1:5">
      <c r="A296">
        <v>229</v>
      </c>
      <c r="B296" t="s">
        <v>253</v>
      </c>
      <c r="C296" t="s">
        <v>531</v>
      </c>
      <c r="D296" t="s">
        <v>528</v>
      </c>
      <c r="E296" t="s">
        <v>479</v>
      </c>
    </row>
    <row r="297" spans="1:5">
      <c r="A297">
        <v>230</v>
      </c>
      <c r="B297" t="s">
        <v>255</v>
      </c>
      <c r="C297" t="s">
        <v>531</v>
      </c>
      <c r="D297" t="s">
        <v>528</v>
      </c>
      <c r="E297" t="s">
        <v>479</v>
      </c>
    </row>
    <row r="298" spans="1:5">
      <c r="A298">
        <v>231</v>
      </c>
      <c r="B298" t="s">
        <v>252</v>
      </c>
      <c r="C298" t="s">
        <v>531</v>
      </c>
      <c r="D298" t="s">
        <v>528</v>
      </c>
      <c r="E298" t="s">
        <v>477</v>
      </c>
    </row>
    <row r="299" spans="1:5">
      <c r="A299">
        <v>235</v>
      </c>
      <c r="B299" t="s">
        <v>144</v>
      </c>
      <c r="C299" t="s">
        <v>531</v>
      </c>
      <c r="D299" t="s">
        <v>528</v>
      </c>
      <c r="E299" t="s">
        <v>433</v>
      </c>
    </row>
    <row r="300" spans="1:5">
      <c r="A300">
        <v>236</v>
      </c>
      <c r="B300" t="s">
        <v>144</v>
      </c>
      <c r="C300" t="s">
        <v>531</v>
      </c>
      <c r="D300" t="s">
        <v>528</v>
      </c>
      <c r="E300" t="s">
        <v>415</v>
      </c>
    </row>
    <row r="301" spans="1:5">
      <c r="A301">
        <v>241</v>
      </c>
      <c r="B301" t="s">
        <v>324</v>
      </c>
      <c r="C301" t="s">
        <v>531</v>
      </c>
      <c r="D301" t="s">
        <v>528</v>
      </c>
      <c r="E301" t="s">
        <v>512</v>
      </c>
    </row>
    <row r="302" spans="1:5">
      <c r="A302">
        <v>244</v>
      </c>
      <c r="B302" t="s">
        <v>32</v>
      </c>
      <c r="C302" t="s">
        <v>531</v>
      </c>
      <c r="D302" t="s">
        <v>528</v>
      </c>
      <c r="E302" t="s">
        <v>363</v>
      </c>
    </row>
    <row r="303" spans="1:5">
      <c r="A303">
        <v>247</v>
      </c>
      <c r="B303" t="s">
        <v>567</v>
      </c>
      <c r="C303" t="s">
        <v>531</v>
      </c>
      <c r="D303" t="s">
        <v>528</v>
      </c>
      <c r="E303" t="s">
        <v>476</v>
      </c>
    </row>
    <row r="304" spans="1:5">
      <c r="A304">
        <v>253</v>
      </c>
      <c r="B304" t="s">
        <v>333</v>
      </c>
      <c r="C304" t="s">
        <v>531</v>
      </c>
      <c r="D304" t="s">
        <v>528</v>
      </c>
      <c r="E304" t="s">
        <v>515</v>
      </c>
    </row>
    <row r="305" spans="1:5">
      <c r="A305">
        <v>255</v>
      </c>
      <c r="B305" t="s">
        <v>202</v>
      </c>
      <c r="C305" t="s">
        <v>531</v>
      </c>
      <c r="D305" t="s">
        <v>528</v>
      </c>
      <c r="E305" t="s">
        <v>446</v>
      </c>
    </row>
    <row r="306" spans="1:5">
      <c r="A306">
        <v>256</v>
      </c>
      <c r="B306" t="s">
        <v>217</v>
      </c>
      <c r="C306" t="s">
        <v>531</v>
      </c>
      <c r="D306" t="s">
        <v>528</v>
      </c>
      <c r="E306" t="s">
        <v>457</v>
      </c>
    </row>
    <row r="307" spans="1:5">
      <c r="A307">
        <v>260</v>
      </c>
      <c r="B307" t="s">
        <v>286</v>
      </c>
      <c r="C307" t="s">
        <v>531</v>
      </c>
      <c r="D307" t="s">
        <v>528</v>
      </c>
      <c r="E307" t="s">
        <v>494</v>
      </c>
    </row>
    <row r="308" spans="1:5">
      <c r="A308">
        <v>261</v>
      </c>
      <c r="B308" t="s">
        <v>60</v>
      </c>
      <c r="C308" t="s">
        <v>531</v>
      </c>
      <c r="D308" t="s">
        <v>528</v>
      </c>
      <c r="E308" t="s">
        <v>375</v>
      </c>
    </row>
    <row r="309" spans="1:5">
      <c r="A309">
        <v>267</v>
      </c>
      <c r="B309" t="s">
        <v>83</v>
      </c>
      <c r="C309" t="s">
        <v>531</v>
      </c>
      <c r="D309" t="s">
        <v>528</v>
      </c>
      <c r="E309" t="s">
        <v>386</v>
      </c>
    </row>
    <row r="310" spans="1:5">
      <c r="A310">
        <v>268</v>
      </c>
      <c r="B310" t="s">
        <v>83</v>
      </c>
      <c r="C310" t="s">
        <v>531</v>
      </c>
      <c r="D310" t="s">
        <v>528</v>
      </c>
      <c r="E310" t="s">
        <v>387</v>
      </c>
    </row>
    <row r="311" spans="1:5">
      <c r="A311">
        <v>269</v>
      </c>
      <c r="B311" t="s">
        <v>57</v>
      </c>
      <c r="C311" t="s">
        <v>531</v>
      </c>
      <c r="D311" t="s">
        <v>528</v>
      </c>
      <c r="E311" t="s">
        <v>374</v>
      </c>
    </row>
    <row r="312" spans="1:5">
      <c r="A312">
        <v>277</v>
      </c>
      <c r="B312" t="s">
        <v>526</v>
      </c>
      <c r="C312" t="s">
        <v>531</v>
      </c>
      <c r="D312" t="s">
        <v>528</v>
      </c>
      <c r="E312" t="s">
        <v>367</v>
      </c>
    </row>
    <row r="313" spans="1:5">
      <c r="A313">
        <v>278</v>
      </c>
      <c r="B313" t="s">
        <v>233</v>
      </c>
      <c r="C313" t="s">
        <v>531</v>
      </c>
      <c r="D313" t="s">
        <v>528</v>
      </c>
      <c r="E313" t="s">
        <v>464</v>
      </c>
    </row>
    <row r="314" spans="1:5">
      <c r="A314">
        <v>279</v>
      </c>
      <c r="B314" t="s">
        <v>180</v>
      </c>
      <c r="C314" t="s">
        <v>531</v>
      </c>
      <c r="D314" t="s">
        <v>528</v>
      </c>
      <c r="E314" t="s">
        <v>438</v>
      </c>
    </row>
    <row r="315" spans="1:5">
      <c r="A315">
        <v>280</v>
      </c>
      <c r="B315" t="s">
        <v>180</v>
      </c>
      <c r="C315" t="s">
        <v>531</v>
      </c>
      <c r="D315" t="s">
        <v>528</v>
      </c>
      <c r="E315" t="s">
        <v>432</v>
      </c>
    </row>
    <row r="316" spans="1:5">
      <c r="A316">
        <v>283</v>
      </c>
      <c r="B316" t="s">
        <v>52</v>
      </c>
      <c r="C316" t="s">
        <v>531</v>
      </c>
      <c r="D316" t="s">
        <v>528</v>
      </c>
      <c r="E316" t="s">
        <v>373</v>
      </c>
    </row>
    <row r="317" spans="1:5">
      <c r="A317">
        <v>285</v>
      </c>
      <c r="B317" t="s">
        <v>552</v>
      </c>
      <c r="C317" t="s">
        <v>531</v>
      </c>
      <c r="D317" t="s">
        <v>528</v>
      </c>
      <c r="E317" t="s">
        <v>353</v>
      </c>
    </row>
    <row r="318" spans="1:5">
      <c r="A318">
        <v>293</v>
      </c>
      <c r="B318" t="s">
        <v>168</v>
      </c>
      <c r="C318" t="s">
        <v>531</v>
      </c>
      <c r="D318" t="s">
        <v>528</v>
      </c>
      <c r="E318" t="s">
        <v>426</v>
      </c>
    </row>
    <row r="319" spans="1:5">
      <c r="A319">
        <v>294</v>
      </c>
      <c r="B319" t="s">
        <v>118</v>
      </c>
      <c r="C319" t="s">
        <v>531</v>
      </c>
      <c r="D319" t="s">
        <v>528</v>
      </c>
      <c r="E319" t="s">
        <v>401</v>
      </c>
    </row>
    <row r="320" spans="1:5">
      <c r="A320">
        <v>295</v>
      </c>
      <c r="B320" t="s">
        <v>261</v>
      </c>
      <c r="C320" t="s">
        <v>531</v>
      </c>
      <c r="D320" t="s">
        <v>528</v>
      </c>
      <c r="E320" t="s">
        <v>481</v>
      </c>
    </row>
    <row r="321" spans="1:5">
      <c r="A321">
        <v>305</v>
      </c>
      <c r="B321" t="s">
        <v>0</v>
      </c>
      <c r="C321" t="s">
        <v>531</v>
      </c>
      <c r="D321" t="s">
        <v>528</v>
      </c>
      <c r="E321" t="s">
        <v>349</v>
      </c>
    </row>
    <row r="322" spans="1:5">
      <c r="A322">
        <v>310</v>
      </c>
      <c r="B322" t="s">
        <v>328</v>
      </c>
      <c r="C322" t="s">
        <v>531</v>
      </c>
      <c r="D322" t="s">
        <v>528</v>
      </c>
      <c r="E322" t="s">
        <v>512</v>
      </c>
    </row>
    <row r="323" spans="1:5">
      <c r="A323">
        <v>312</v>
      </c>
      <c r="B323" t="s">
        <v>4</v>
      </c>
      <c r="C323" t="s">
        <v>531</v>
      </c>
      <c r="D323" t="s">
        <v>528</v>
      </c>
      <c r="E323" t="s">
        <v>349</v>
      </c>
    </row>
    <row r="324" spans="1:5">
      <c r="A324">
        <v>313</v>
      </c>
      <c r="B324" t="s">
        <v>4</v>
      </c>
      <c r="C324" t="s">
        <v>531</v>
      </c>
      <c r="D324" t="s">
        <v>528</v>
      </c>
      <c r="E324" t="s">
        <v>523</v>
      </c>
    </row>
    <row r="325" spans="1:5">
      <c r="A325">
        <v>314</v>
      </c>
      <c r="B325" t="s">
        <v>76</v>
      </c>
      <c r="C325" t="s">
        <v>531</v>
      </c>
      <c r="D325" t="s">
        <v>528</v>
      </c>
      <c r="E325" t="s">
        <v>383</v>
      </c>
    </row>
    <row r="326" spans="1:5">
      <c r="A326">
        <v>323</v>
      </c>
      <c r="B326" t="s">
        <v>44</v>
      </c>
      <c r="C326" t="s">
        <v>531</v>
      </c>
      <c r="D326" t="s">
        <v>528</v>
      </c>
      <c r="E326" t="s">
        <v>371</v>
      </c>
    </row>
    <row r="327" spans="1:5">
      <c r="A327">
        <v>334</v>
      </c>
      <c r="B327" t="s">
        <v>191</v>
      </c>
      <c r="C327" t="s">
        <v>531</v>
      </c>
      <c r="D327" t="s">
        <v>528</v>
      </c>
      <c r="E327" t="s">
        <v>441</v>
      </c>
    </row>
    <row r="328" spans="1:5">
      <c r="A328">
        <v>340</v>
      </c>
      <c r="B328" t="s">
        <v>74</v>
      </c>
      <c r="C328" t="s">
        <v>531</v>
      </c>
      <c r="D328" t="s">
        <v>528</v>
      </c>
      <c r="E328" t="s">
        <v>383</v>
      </c>
    </row>
    <row r="329" spans="1:5">
      <c r="A329">
        <v>342</v>
      </c>
      <c r="B329" t="s">
        <v>568</v>
      </c>
      <c r="C329" t="s">
        <v>531</v>
      </c>
      <c r="D329" t="s">
        <v>528</v>
      </c>
      <c r="E329" t="s">
        <v>498</v>
      </c>
    </row>
    <row r="330" spans="1:5">
      <c r="A330">
        <v>360</v>
      </c>
      <c r="B330" t="s">
        <v>61</v>
      </c>
      <c r="C330" t="s">
        <v>531</v>
      </c>
      <c r="D330" t="s">
        <v>528</v>
      </c>
      <c r="E330" t="s">
        <v>376</v>
      </c>
    </row>
    <row r="331" spans="1:5">
      <c r="A331">
        <v>363</v>
      </c>
      <c r="B331" t="s">
        <v>66</v>
      </c>
      <c r="C331" t="s">
        <v>531</v>
      </c>
      <c r="D331" t="s">
        <v>528</v>
      </c>
      <c r="E331" t="s">
        <v>379</v>
      </c>
    </row>
    <row r="332" spans="1:5">
      <c r="A332">
        <v>367</v>
      </c>
      <c r="B332" t="s">
        <v>558</v>
      </c>
      <c r="C332" t="s">
        <v>531</v>
      </c>
      <c r="D332" t="s">
        <v>528</v>
      </c>
      <c r="E332" t="s">
        <v>441</v>
      </c>
    </row>
    <row r="333" spans="1:5">
      <c r="A333">
        <v>368</v>
      </c>
      <c r="B333" t="s">
        <v>189</v>
      </c>
      <c r="C333" t="s">
        <v>531</v>
      </c>
      <c r="D333" t="s">
        <v>528</v>
      </c>
      <c r="E333" t="s">
        <v>437</v>
      </c>
    </row>
    <row r="334" spans="1:5">
      <c r="A334">
        <v>370</v>
      </c>
      <c r="B334" t="s">
        <v>284</v>
      </c>
      <c r="C334" t="s">
        <v>531</v>
      </c>
      <c r="D334" t="s">
        <v>528</v>
      </c>
      <c r="E334" t="s">
        <v>493</v>
      </c>
    </row>
    <row r="335" spans="1:5">
      <c r="A335">
        <v>396</v>
      </c>
      <c r="B335" t="s">
        <v>38</v>
      </c>
      <c r="C335" t="s">
        <v>531</v>
      </c>
      <c r="D335" t="s">
        <v>528</v>
      </c>
      <c r="E335" t="s">
        <v>369</v>
      </c>
    </row>
    <row r="336" spans="1:5">
      <c r="A336">
        <v>400</v>
      </c>
      <c r="B336" t="s">
        <v>309</v>
      </c>
      <c r="C336" t="s">
        <v>531</v>
      </c>
      <c r="D336" t="s">
        <v>528</v>
      </c>
      <c r="E336" t="s">
        <v>505</v>
      </c>
    </row>
    <row r="337" spans="1:5">
      <c r="A337">
        <v>401</v>
      </c>
      <c r="B337" t="s">
        <v>37</v>
      </c>
      <c r="C337" t="s">
        <v>531</v>
      </c>
      <c r="D337" t="s">
        <v>528</v>
      </c>
      <c r="E337" t="s">
        <v>368</v>
      </c>
    </row>
    <row r="338" spans="1:5">
      <c r="A338">
        <v>406</v>
      </c>
      <c r="B338" t="s">
        <v>194</v>
      </c>
      <c r="C338" t="s">
        <v>531</v>
      </c>
      <c r="D338" t="s">
        <v>528</v>
      </c>
      <c r="E338" t="s">
        <v>443</v>
      </c>
    </row>
    <row r="339" spans="1:5">
      <c r="A339">
        <v>412</v>
      </c>
      <c r="B339" t="s">
        <v>23</v>
      </c>
      <c r="C339" t="s">
        <v>531</v>
      </c>
      <c r="D339" t="s">
        <v>528</v>
      </c>
      <c r="E339" t="s">
        <v>359</v>
      </c>
    </row>
    <row r="340" spans="1:5">
      <c r="A340">
        <v>311</v>
      </c>
      <c r="B340" t="s">
        <v>327</v>
      </c>
      <c r="C340" t="s">
        <v>533</v>
      </c>
      <c r="D340" t="s">
        <v>528</v>
      </c>
      <c r="E340" t="s">
        <v>512</v>
      </c>
    </row>
    <row r="341" spans="1:5">
      <c r="A341">
        <v>50</v>
      </c>
      <c r="B341" t="s">
        <v>207</v>
      </c>
      <c r="C341" t="s">
        <v>533</v>
      </c>
      <c r="D341" t="s">
        <v>528</v>
      </c>
      <c r="E341" t="s">
        <v>450</v>
      </c>
    </row>
    <row r="342" spans="1:5">
      <c r="A342">
        <v>52</v>
      </c>
      <c r="B342" t="s">
        <v>129</v>
      </c>
      <c r="C342" t="s">
        <v>533</v>
      </c>
      <c r="D342" t="s">
        <v>528</v>
      </c>
      <c r="E342" t="s">
        <v>407</v>
      </c>
    </row>
    <row r="343" spans="1:5">
      <c r="A343">
        <v>53</v>
      </c>
      <c r="B343" t="s">
        <v>128</v>
      </c>
      <c r="C343" t="s">
        <v>533</v>
      </c>
      <c r="D343" t="s">
        <v>528</v>
      </c>
      <c r="E343" t="s">
        <v>407</v>
      </c>
    </row>
    <row r="344" spans="1:5">
      <c r="A344">
        <v>98</v>
      </c>
      <c r="B344" t="s">
        <v>127</v>
      </c>
      <c r="C344" t="s">
        <v>533</v>
      </c>
      <c r="D344" t="s">
        <v>528</v>
      </c>
      <c r="E344" t="s">
        <v>406</v>
      </c>
    </row>
    <row r="345" spans="1:5">
      <c r="A345">
        <v>119</v>
      </c>
      <c r="B345" t="s">
        <v>155</v>
      </c>
      <c r="C345" t="s">
        <v>533</v>
      </c>
      <c r="D345" t="s">
        <v>528</v>
      </c>
      <c r="E345" t="s">
        <v>420</v>
      </c>
    </row>
    <row r="346" spans="1:5">
      <c r="A346">
        <v>169</v>
      </c>
      <c r="B346" t="s">
        <v>245</v>
      </c>
      <c r="C346" t="s">
        <v>533</v>
      </c>
      <c r="D346" t="s">
        <v>528</v>
      </c>
      <c r="E346" t="s">
        <v>471</v>
      </c>
    </row>
    <row r="347" spans="1:5">
      <c r="A347">
        <v>187</v>
      </c>
      <c r="B347" t="s">
        <v>559</v>
      </c>
      <c r="C347" t="s">
        <v>533</v>
      </c>
      <c r="D347" t="s">
        <v>528</v>
      </c>
      <c r="E347" t="s">
        <v>449</v>
      </c>
    </row>
    <row r="348" spans="1:5">
      <c r="A348">
        <v>188</v>
      </c>
      <c r="B348" t="s">
        <v>82</v>
      </c>
      <c r="C348" t="s">
        <v>533</v>
      </c>
      <c r="D348" t="s">
        <v>528</v>
      </c>
      <c r="E348" t="s">
        <v>386</v>
      </c>
    </row>
    <row r="349" spans="1:5">
      <c r="A349">
        <v>204</v>
      </c>
      <c r="B349" t="s">
        <v>79</v>
      </c>
      <c r="C349" t="s">
        <v>533</v>
      </c>
      <c r="D349" t="s">
        <v>528</v>
      </c>
      <c r="E349" t="s">
        <v>385</v>
      </c>
    </row>
    <row r="350" spans="1:5">
      <c r="A350">
        <v>205</v>
      </c>
      <c r="B350" t="s">
        <v>79</v>
      </c>
      <c r="C350" t="s">
        <v>533</v>
      </c>
      <c r="D350" t="s">
        <v>528</v>
      </c>
      <c r="E350" t="s">
        <v>416</v>
      </c>
    </row>
    <row r="351" spans="1:5">
      <c r="A351">
        <v>206</v>
      </c>
      <c r="B351" t="s">
        <v>314</v>
      </c>
      <c r="C351" t="s">
        <v>533</v>
      </c>
      <c r="D351" t="s">
        <v>528</v>
      </c>
      <c r="E351" t="s">
        <v>508</v>
      </c>
    </row>
    <row r="352" spans="1:5">
      <c r="A352">
        <v>216</v>
      </c>
      <c r="B352" t="s">
        <v>213</v>
      </c>
      <c r="C352" t="s">
        <v>533</v>
      </c>
      <c r="D352" t="s">
        <v>528</v>
      </c>
      <c r="E352" t="s">
        <v>454</v>
      </c>
    </row>
    <row r="353" spans="1:5">
      <c r="A353">
        <v>232</v>
      </c>
      <c r="B353" t="s">
        <v>221</v>
      </c>
      <c r="C353" t="s">
        <v>533</v>
      </c>
      <c r="D353" t="s">
        <v>528</v>
      </c>
      <c r="E353" t="s">
        <v>459</v>
      </c>
    </row>
    <row r="354" spans="1:5">
      <c r="A354">
        <v>240</v>
      </c>
      <c r="B354" t="s">
        <v>179</v>
      </c>
      <c r="C354" t="s">
        <v>533</v>
      </c>
      <c r="D354" t="s">
        <v>528</v>
      </c>
      <c r="E354" t="s">
        <v>432</v>
      </c>
    </row>
    <row r="355" spans="1:5">
      <c r="A355">
        <v>243</v>
      </c>
      <c r="B355" t="s">
        <v>338</v>
      </c>
      <c r="C355" t="s">
        <v>533</v>
      </c>
      <c r="D355" t="s">
        <v>528</v>
      </c>
      <c r="E355" t="s">
        <v>517</v>
      </c>
    </row>
    <row r="356" spans="1:5">
      <c r="A356">
        <v>245</v>
      </c>
      <c r="B356" t="s">
        <v>239</v>
      </c>
      <c r="C356" t="s">
        <v>533</v>
      </c>
      <c r="D356" t="s">
        <v>528</v>
      </c>
      <c r="E356" t="s">
        <v>467</v>
      </c>
    </row>
    <row r="357" spans="1:5">
      <c r="A357">
        <v>246</v>
      </c>
      <c r="B357" t="s">
        <v>235</v>
      </c>
      <c r="C357" t="s">
        <v>533</v>
      </c>
      <c r="D357" t="s">
        <v>528</v>
      </c>
      <c r="E357" t="s">
        <v>465</v>
      </c>
    </row>
    <row r="358" spans="1:5">
      <c r="A358">
        <v>248</v>
      </c>
      <c r="B358" t="s">
        <v>244</v>
      </c>
      <c r="C358" t="s">
        <v>533</v>
      </c>
      <c r="D358" t="s">
        <v>528</v>
      </c>
      <c r="E358" t="s">
        <v>470</v>
      </c>
    </row>
    <row r="359" spans="1:5">
      <c r="A359">
        <v>250</v>
      </c>
      <c r="B359" t="s">
        <v>124</v>
      </c>
      <c r="C359" t="s">
        <v>533</v>
      </c>
      <c r="D359" t="s">
        <v>528</v>
      </c>
      <c r="E359" t="s">
        <v>405</v>
      </c>
    </row>
    <row r="360" spans="1:5">
      <c r="A360">
        <v>252</v>
      </c>
      <c r="B360" t="s">
        <v>187</v>
      </c>
      <c r="C360" t="s">
        <v>533</v>
      </c>
      <c r="D360" t="s">
        <v>528</v>
      </c>
      <c r="E360" t="s">
        <v>437</v>
      </c>
    </row>
    <row r="361" spans="1:5">
      <c r="A361">
        <v>272</v>
      </c>
      <c r="B361" t="s">
        <v>96</v>
      </c>
      <c r="C361" t="s">
        <v>533</v>
      </c>
      <c r="D361" t="s">
        <v>528</v>
      </c>
      <c r="E361" t="s">
        <v>394</v>
      </c>
    </row>
    <row r="362" spans="1:5">
      <c r="A362">
        <v>281</v>
      </c>
      <c r="B362" t="s">
        <v>115</v>
      </c>
      <c r="C362" t="s">
        <v>533</v>
      </c>
      <c r="D362" t="s">
        <v>528</v>
      </c>
      <c r="E362" t="s">
        <v>400</v>
      </c>
    </row>
    <row r="363" spans="1:5">
      <c r="A363">
        <v>282</v>
      </c>
      <c r="B363" t="s">
        <v>311</v>
      </c>
      <c r="C363" t="s">
        <v>533</v>
      </c>
      <c r="D363" t="s">
        <v>528</v>
      </c>
      <c r="E363" t="s">
        <v>505</v>
      </c>
    </row>
    <row r="364" spans="1:5">
      <c r="A364">
        <v>299</v>
      </c>
      <c r="B364" t="s">
        <v>264</v>
      </c>
      <c r="C364" t="s">
        <v>533</v>
      </c>
      <c r="D364" t="s">
        <v>528</v>
      </c>
      <c r="E364" t="s">
        <v>483</v>
      </c>
    </row>
    <row r="365" spans="1:5">
      <c r="A365">
        <v>300</v>
      </c>
      <c r="B365" t="s">
        <v>92</v>
      </c>
      <c r="C365" t="s">
        <v>533</v>
      </c>
      <c r="D365" t="s">
        <v>528</v>
      </c>
      <c r="E365" t="s">
        <v>392</v>
      </c>
    </row>
    <row r="366" spans="1:5">
      <c r="A366">
        <v>301</v>
      </c>
      <c r="B366" t="s">
        <v>139</v>
      </c>
      <c r="C366" t="s">
        <v>533</v>
      </c>
      <c r="D366" t="s">
        <v>528</v>
      </c>
      <c r="E366" t="s">
        <v>411</v>
      </c>
    </row>
    <row r="367" spans="1:5">
      <c r="A367">
        <v>316</v>
      </c>
      <c r="B367" t="s">
        <v>2</v>
      </c>
      <c r="C367" t="s">
        <v>533</v>
      </c>
      <c r="D367" t="s">
        <v>528</v>
      </c>
      <c r="E367" t="s">
        <v>349</v>
      </c>
    </row>
    <row r="368" spans="1:5">
      <c r="A368">
        <v>319</v>
      </c>
      <c r="B368" t="s">
        <v>6</v>
      </c>
      <c r="C368" t="s">
        <v>533</v>
      </c>
      <c r="D368" t="s">
        <v>528</v>
      </c>
      <c r="E368" t="s">
        <v>349</v>
      </c>
    </row>
    <row r="369" spans="1:5">
      <c r="A369">
        <v>325</v>
      </c>
      <c r="B369" t="s">
        <v>11</v>
      </c>
      <c r="C369" t="s">
        <v>533</v>
      </c>
      <c r="D369" t="s">
        <v>528</v>
      </c>
      <c r="E369" t="s">
        <v>353</v>
      </c>
    </row>
    <row r="370" spans="1:5">
      <c r="A370">
        <v>327</v>
      </c>
      <c r="B370" t="s">
        <v>296</v>
      </c>
      <c r="C370" t="s">
        <v>533</v>
      </c>
      <c r="D370" t="s">
        <v>528</v>
      </c>
      <c r="E370" t="s">
        <v>500</v>
      </c>
    </row>
    <row r="371" spans="1:5">
      <c r="A371">
        <v>357</v>
      </c>
      <c r="B371" t="s">
        <v>281</v>
      </c>
      <c r="C371" t="s">
        <v>533</v>
      </c>
      <c r="D371" t="s">
        <v>528</v>
      </c>
      <c r="E371" t="s">
        <v>491</v>
      </c>
    </row>
    <row r="372" spans="1:5">
      <c r="A372">
        <v>365</v>
      </c>
      <c r="B372" t="s">
        <v>113</v>
      </c>
      <c r="C372" t="s">
        <v>533</v>
      </c>
      <c r="D372" t="s">
        <v>528</v>
      </c>
      <c r="E372" t="s">
        <v>399</v>
      </c>
    </row>
    <row r="373" spans="1:5">
      <c r="A373">
        <v>369</v>
      </c>
      <c r="B373" t="s">
        <v>188</v>
      </c>
      <c r="C373" t="s">
        <v>533</v>
      </c>
      <c r="D373" t="s">
        <v>528</v>
      </c>
      <c r="E373" t="s">
        <v>437</v>
      </c>
    </row>
    <row r="374" spans="1:5">
      <c r="A374">
        <v>397</v>
      </c>
      <c r="B374" t="s">
        <v>93</v>
      </c>
      <c r="C374" t="s">
        <v>533</v>
      </c>
      <c r="D374" t="s">
        <v>528</v>
      </c>
      <c r="E374" t="s">
        <v>393</v>
      </c>
    </row>
    <row r="375" spans="1:5">
      <c r="A375">
        <v>9</v>
      </c>
      <c r="B375" t="s">
        <v>300</v>
      </c>
      <c r="C375" t="s">
        <v>538</v>
      </c>
      <c r="D375" t="s">
        <v>528</v>
      </c>
      <c r="E375" t="s">
        <v>501</v>
      </c>
    </row>
    <row r="376" spans="1:5">
      <c r="A376">
        <v>10</v>
      </c>
      <c r="B376" t="s">
        <v>307</v>
      </c>
      <c r="C376" t="s">
        <v>538</v>
      </c>
      <c r="D376" t="s">
        <v>528</v>
      </c>
      <c r="E376" t="s">
        <v>505</v>
      </c>
    </row>
    <row r="377" spans="1:5">
      <c r="A377">
        <v>11</v>
      </c>
      <c r="B377" t="s">
        <v>256</v>
      </c>
      <c r="C377" t="s">
        <v>538</v>
      </c>
      <c r="D377" t="s">
        <v>528</v>
      </c>
      <c r="E377" t="s">
        <v>479</v>
      </c>
    </row>
    <row r="378" spans="1:5">
      <c r="A378">
        <v>15</v>
      </c>
      <c r="B378" t="s">
        <v>47</v>
      </c>
      <c r="C378" t="s">
        <v>538</v>
      </c>
      <c r="D378" t="s">
        <v>528</v>
      </c>
      <c r="E378" t="s">
        <v>371</v>
      </c>
    </row>
    <row r="379" spans="1:5">
      <c r="A379">
        <v>26</v>
      </c>
      <c r="B379" t="s">
        <v>199</v>
      </c>
      <c r="C379" t="s">
        <v>538</v>
      </c>
      <c r="D379" t="s">
        <v>528</v>
      </c>
      <c r="E379" t="s">
        <v>471</v>
      </c>
    </row>
    <row r="380" spans="1:5">
      <c r="A380">
        <v>27</v>
      </c>
      <c r="B380" t="s">
        <v>199</v>
      </c>
      <c r="C380" t="s">
        <v>538</v>
      </c>
      <c r="D380" t="s">
        <v>528</v>
      </c>
      <c r="E380" t="s">
        <v>443</v>
      </c>
    </row>
    <row r="381" spans="1:5">
      <c r="A381">
        <v>28</v>
      </c>
      <c r="B381" t="s">
        <v>199</v>
      </c>
      <c r="C381" t="s">
        <v>538</v>
      </c>
      <c r="D381" t="s">
        <v>528</v>
      </c>
      <c r="E381" t="s">
        <v>444</v>
      </c>
    </row>
    <row r="382" spans="1:5">
      <c r="A382">
        <v>29</v>
      </c>
      <c r="B382" t="s">
        <v>199</v>
      </c>
      <c r="C382" t="s">
        <v>538</v>
      </c>
      <c r="D382" t="s">
        <v>528</v>
      </c>
      <c r="E382" t="s">
        <v>446</v>
      </c>
    </row>
    <row r="383" spans="1:5">
      <c r="A383">
        <v>30</v>
      </c>
      <c r="B383" t="s">
        <v>565</v>
      </c>
      <c r="C383" t="s">
        <v>538</v>
      </c>
      <c r="D383" t="s">
        <v>528</v>
      </c>
      <c r="E383" t="s">
        <v>472</v>
      </c>
    </row>
    <row r="384" spans="1:5">
      <c r="A384">
        <v>31</v>
      </c>
      <c r="B384" t="s">
        <v>344</v>
      </c>
      <c r="C384" t="s">
        <v>538</v>
      </c>
      <c r="D384" t="s">
        <v>528</v>
      </c>
      <c r="E384" t="s">
        <v>520</v>
      </c>
    </row>
    <row r="385" spans="1:5">
      <c r="A385">
        <v>32</v>
      </c>
      <c r="B385" t="s">
        <v>152</v>
      </c>
      <c r="C385" t="s">
        <v>538</v>
      </c>
      <c r="D385" t="s">
        <v>528</v>
      </c>
      <c r="E385" t="s">
        <v>419</v>
      </c>
    </row>
    <row r="386" spans="1:5">
      <c r="A386">
        <v>33</v>
      </c>
      <c r="B386" t="s">
        <v>20</v>
      </c>
      <c r="C386" t="s">
        <v>538</v>
      </c>
      <c r="D386" t="s">
        <v>528</v>
      </c>
      <c r="E386" t="s">
        <v>357</v>
      </c>
    </row>
    <row r="387" spans="1:5">
      <c r="A387">
        <v>38</v>
      </c>
      <c r="B387" t="s">
        <v>258</v>
      </c>
      <c r="C387" t="s">
        <v>538</v>
      </c>
      <c r="D387" t="s">
        <v>528</v>
      </c>
      <c r="E387" t="s">
        <v>480</v>
      </c>
    </row>
    <row r="388" spans="1:5">
      <c r="A388">
        <v>39</v>
      </c>
      <c r="B388" t="s">
        <v>258</v>
      </c>
      <c r="C388" t="s">
        <v>538</v>
      </c>
      <c r="D388" t="s">
        <v>528</v>
      </c>
      <c r="E388" t="s">
        <v>474</v>
      </c>
    </row>
    <row r="389" spans="1:5">
      <c r="A389">
        <v>40</v>
      </c>
      <c r="B389" t="s">
        <v>269</v>
      </c>
      <c r="C389" t="s">
        <v>538</v>
      </c>
      <c r="D389" t="s">
        <v>528</v>
      </c>
      <c r="E389" t="s">
        <v>484</v>
      </c>
    </row>
    <row r="390" spans="1:5">
      <c r="A390">
        <v>44</v>
      </c>
      <c r="B390" t="s">
        <v>165</v>
      </c>
      <c r="C390" t="s">
        <v>538</v>
      </c>
      <c r="D390" t="s">
        <v>528</v>
      </c>
      <c r="E390" t="s">
        <v>425</v>
      </c>
    </row>
    <row r="391" spans="1:5">
      <c r="A391">
        <v>55</v>
      </c>
      <c r="B391" t="s">
        <v>271</v>
      </c>
      <c r="C391" t="s">
        <v>538</v>
      </c>
      <c r="D391" t="s">
        <v>528</v>
      </c>
      <c r="E391" t="s">
        <v>486</v>
      </c>
    </row>
    <row r="392" spans="1:5">
      <c r="A392">
        <v>75</v>
      </c>
      <c r="B392" t="s">
        <v>103</v>
      </c>
      <c r="C392" t="s">
        <v>538</v>
      </c>
      <c r="D392" t="s">
        <v>528</v>
      </c>
      <c r="E392" t="s">
        <v>396</v>
      </c>
    </row>
    <row r="393" spans="1:5">
      <c r="A393">
        <v>78</v>
      </c>
      <c r="B393" t="s">
        <v>105</v>
      </c>
      <c r="C393" t="s">
        <v>538</v>
      </c>
      <c r="D393" t="s">
        <v>528</v>
      </c>
      <c r="E393" t="s">
        <v>396</v>
      </c>
    </row>
    <row r="394" spans="1:5">
      <c r="A394">
        <v>130</v>
      </c>
      <c r="B394" t="s">
        <v>19</v>
      </c>
      <c r="C394" t="s">
        <v>538</v>
      </c>
      <c r="D394" t="s">
        <v>528</v>
      </c>
      <c r="E394" t="s">
        <v>357</v>
      </c>
    </row>
    <row r="395" spans="1:5">
      <c r="A395">
        <v>131</v>
      </c>
      <c r="B395" t="s">
        <v>51</v>
      </c>
      <c r="C395" t="s">
        <v>538</v>
      </c>
      <c r="D395" t="s">
        <v>528</v>
      </c>
      <c r="E395" t="s">
        <v>372</v>
      </c>
    </row>
    <row r="396" spans="1:5">
      <c r="A396">
        <v>132</v>
      </c>
      <c r="B396" t="s">
        <v>51</v>
      </c>
      <c r="C396" t="s">
        <v>538</v>
      </c>
      <c r="D396" t="s">
        <v>528</v>
      </c>
      <c r="E396" t="s">
        <v>396</v>
      </c>
    </row>
    <row r="397" spans="1:5">
      <c r="A397">
        <v>135</v>
      </c>
      <c r="B397" t="s">
        <v>285</v>
      </c>
      <c r="C397" t="s">
        <v>538</v>
      </c>
      <c r="D397" t="s">
        <v>528</v>
      </c>
      <c r="E397" t="s">
        <v>493</v>
      </c>
    </row>
    <row r="398" spans="1:5">
      <c r="A398">
        <v>148</v>
      </c>
      <c r="B398" t="s">
        <v>234</v>
      </c>
      <c r="C398" t="s">
        <v>538</v>
      </c>
      <c r="D398" t="s">
        <v>528</v>
      </c>
      <c r="E398" t="s">
        <v>464</v>
      </c>
    </row>
    <row r="399" spans="1:5">
      <c r="A399">
        <v>149</v>
      </c>
      <c r="B399" t="s">
        <v>153</v>
      </c>
      <c r="C399" t="s">
        <v>538</v>
      </c>
      <c r="D399" t="s">
        <v>528</v>
      </c>
      <c r="E399" t="s">
        <v>419</v>
      </c>
    </row>
    <row r="400" spans="1:5">
      <c r="A400">
        <v>151</v>
      </c>
      <c r="B400" t="s">
        <v>270</v>
      </c>
      <c r="C400" t="s">
        <v>538</v>
      </c>
      <c r="D400" t="s">
        <v>528</v>
      </c>
      <c r="E400" t="s">
        <v>485</v>
      </c>
    </row>
    <row r="401" spans="1:5">
      <c r="A401">
        <v>152</v>
      </c>
      <c r="B401" t="s">
        <v>36</v>
      </c>
      <c r="C401" t="s">
        <v>538</v>
      </c>
      <c r="D401" t="s">
        <v>528</v>
      </c>
      <c r="E401" t="s">
        <v>366</v>
      </c>
    </row>
    <row r="402" spans="1:5">
      <c r="A402">
        <v>158</v>
      </c>
      <c r="B402" t="s">
        <v>177</v>
      </c>
      <c r="C402" t="s">
        <v>538</v>
      </c>
      <c r="D402" t="s">
        <v>528</v>
      </c>
      <c r="E402" t="s">
        <v>430</v>
      </c>
    </row>
    <row r="403" spans="1:5">
      <c r="A403">
        <v>162</v>
      </c>
      <c r="B403" t="s">
        <v>41</v>
      </c>
      <c r="C403" t="s">
        <v>538</v>
      </c>
      <c r="D403" t="s">
        <v>528</v>
      </c>
      <c r="E403" t="s">
        <v>369</v>
      </c>
    </row>
    <row r="404" spans="1:5">
      <c r="A404">
        <v>173</v>
      </c>
      <c r="B404" t="s">
        <v>294</v>
      </c>
      <c r="C404" t="s">
        <v>538</v>
      </c>
      <c r="D404" t="s">
        <v>528</v>
      </c>
      <c r="E404" t="s">
        <v>498</v>
      </c>
    </row>
    <row r="405" spans="1:5">
      <c r="A405">
        <v>179</v>
      </c>
      <c r="B405" t="s">
        <v>242</v>
      </c>
      <c r="C405" t="s">
        <v>538</v>
      </c>
      <c r="D405" t="s">
        <v>528</v>
      </c>
      <c r="E405" t="s">
        <v>469</v>
      </c>
    </row>
    <row r="406" spans="1:5">
      <c r="A406">
        <v>212</v>
      </c>
      <c r="B406" t="s">
        <v>145</v>
      </c>
      <c r="C406" t="s">
        <v>538</v>
      </c>
      <c r="D406" t="s">
        <v>528</v>
      </c>
      <c r="E406" t="s">
        <v>416</v>
      </c>
    </row>
    <row r="407" spans="1:5">
      <c r="A407">
        <v>227</v>
      </c>
      <c r="B407" t="s">
        <v>15</v>
      </c>
      <c r="C407" t="s">
        <v>538</v>
      </c>
      <c r="D407" t="s">
        <v>528</v>
      </c>
      <c r="E407" t="s">
        <v>355</v>
      </c>
    </row>
    <row r="408" spans="1:5">
      <c r="A408">
        <v>273</v>
      </c>
      <c r="B408" t="s">
        <v>110</v>
      </c>
      <c r="C408" t="s">
        <v>538</v>
      </c>
      <c r="D408" t="s">
        <v>528</v>
      </c>
      <c r="E408" t="s">
        <v>397</v>
      </c>
    </row>
    <row r="409" spans="1:5">
      <c r="A409">
        <v>289</v>
      </c>
      <c r="B409" t="s">
        <v>56</v>
      </c>
      <c r="C409" t="s">
        <v>538</v>
      </c>
      <c r="D409" t="s">
        <v>528</v>
      </c>
      <c r="E409" t="s">
        <v>373</v>
      </c>
    </row>
    <row r="410" spans="1:5">
      <c r="A410">
        <v>291</v>
      </c>
      <c r="B410" t="s">
        <v>211</v>
      </c>
      <c r="C410" t="s">
        <v>538</v>
      </c>
      <c r="D410" t="s">
        <v>528</v>
      </c>
      <c r="E410" t="s">
        <v>453</v>
      </c>
    </row>
    <row r="411" spans="1:5">
      <c r="A411">
        <v>292</v>
      </c>
      <c r="B411" t="s">
        <v>78</v>
      </c>
      <c r="C411" t="s">
        <v>538</v>
      </c>
      <c r="D411" t="s">
        <v>528</v>
      </c>
      <c r="E411" t="s">
        <v>384</v>
      </c>
    </row>
    <row r="412" spans="1:5">
      <c r="A412">
        <v>335</v>
      </c>
      <c r="B412" t="s">
        <v>248</v>
      </c>
      <c r="C412" t="s">
        <v>538</v>
      </c>
      <c r="D412" t="s">
        <v>528</v>
      </c>
      <c r="E412" t="s">
        <v>475</v>
      </c>
    </row>
    <row r="413" spans="1:5">
      <c r="A413">
        <v>336</v>
      </c>
      <c r="B413" t="s">
        <v>248</v>
      </c>
      <c r="C413" t="s">
        <v>538</v>
      </c>
      <c r="D413" t="s">
        <v>528</v>
      </c>
      <c r="E413" t="s">
        <v>474</v>
      </c>
    </row>
    <row r="414" spans="1:5">
      <c r="A414">
        <v>371</v>
      </c>
      <c r="B414" t="s">
        <v>283</v>
      </c>
      <c r="C414" t="s">
        <v>538</v>
      </c>
      <c r="D414" t="s">
        <v>528</v>
      </c>
      <c r="E414" t="s">
        <v>493</v>
      </c>
    </row>
  </sheetData>
  <sortState ref="A2:E414">
    <sortCondition ref="D2:D414"/>
    <sortCondition ref="C2:C414"/>
    <sortCondition ref="A2:A41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>
      <selection activeCell="F26" sqref="F26"/>
    </sheetView>
  </sheetViews>
  <sheetFormatPr defaultRowHeight="15"/>
  <cols>
    <col min="1" max="1" width="20.7109375" customWidth="1"/>
    <col min="2" max="2" width="16.42578125" customWidth="1"/>
    <col min="5" max="5" width="22.5703125" customWidth="1"/>
  </cols>
  <sheetData>
    <row r="1" spans="1:6" ht="15.75" thickBot="1">
      <c r="A1" s="2" t="s">
        <v>574</v>
      </c>
      <c r="B1" s="2" t="s">
        <v>573</v>
      </c>
      <c r="C1" s="2" t="s">
        <v>578</v>
      </c>
      <c r="D1" s="2" t="s">
        <v>588</v>
      </c>
      <c r="F1" s="2" t="s">
        <v>604</v>
      </c>
    </row>
    <row r="2" spans="1:6">
      <c r="A2" s="4" t="s">
        <v>531</v>
      </c>
      <c r="B2" s="5" t="s">
        <v>528</v>
      </c>
      <c r="C2" s="6">
        <v>129</v>
      </c>
      <c r="D2" t="s">
        <v>579</v>
      </c>
      <c r="F2" t="s">
        <v>612</v>
      </c>
    </row>
    <row r="3" spans="1:6">
      <c r="A3" s="7" t="s">
        <v>538</v>
      </c>
      <c r="B3" s="8" t="s">
        <v>528</v>
      </c>
      <c r="C3" s="9">
        <v>40</v>
      </c>
      <c r="D3" t="s">
        <v>580</v>
      </c>
      <c r="F3" t="s">
        <v>613</v>
      </c>
    </row>
    <row r="4" spans="1:6">
      <c r="A4" s="7" t="s">
        <v>533</v>
      </c>
      <c r="B4" s="8" t="s">
        <v>528</v>
      </c>
      <c r="C4" s="9">
        <v>35</v>
      </c>
      <c r="D4" t="s">
        <v>581</v>
      </c>
      <c r="F4" t="s">
        <v>614</v>
      </c>
    </row>
    <row r="5" spans="1:6">
      <c r="A5" s="7" t="s">
        <v>543</v>
      </c>
      <c r="B5" s="8" t="s">
        <v>528</v>
      </c>
      <c r="C5" s="9">
        <v>11</v>
      </c>
      <c r="D5" t="s">
        <v>582</v>
      </c>
      <c r="F5" t="s">
        <v>615</v>
      </c>
    </row>
    <row r="6" spans="1:6">
      <c r="A6" s="7" t="s">
        <v>549</v>
      </c>
      <c r="B6" s="8" t="s">
        <v>528</v>
      </c>
      <c r="C6" s="9">
        <v>10</v>
      </c>
      <c r="D6" t="s">
        <v>583</v>
      </c>
      <c r="F6" t="s">
        <v>616</v>
      </c>
    </row>
    <row r="7" spans="1:6">
      <c r="A7" s="7" t="s">
        <v>537</v>
      </c>
      <c r="B7" s="8" t="s">
        <v>528</v>
      </c>
      <c r="C7" s="9">
        <v>7</v>
      </c>
      <c r="D7" t="s">
        <v>584</v>
      </c>
      <c r="F7" t="s">
        <v>617</v>
      </c>
    </row>
    <row r="8" spans="1:6">
      <c r="A8" s="7" t="s">
        <v>542</v>
      </c>
      <c r="B8" s="8" t="s">
        <v>528</v>
      </c>
      <c r="C8" s="9">
        <v>3</v>
      </c>
      <c r="D8" t="s">
        <v>585</v>
      </c>
      <c r="F8" t="s">
        <v>618</v>
      </c>
    </row>
    <row r="9" spans="1:6">
      <c r="A9" s="7" t="s">
        <v>541</v>
      </c>
      <c r="B9" s="8" t="s">
        <v>528</v>
      </c>
      <c r="C9" s="9">
        <v>2</v>
      </c>
      <c r="D9" t="s">
        <v>586</v>
      </c>
      <c r="F9" t="s">
        <v>619</v>
      </c>
    </row>
    <row r="10" spans="1:6" ht="15.75" thickBot="1">
      <c r="A10" s="10" t="s">
        <v>550</v>
      </c>
      <c r="B10" s="11" t="s">
        <v>528</v>
      </c>
      <c r="C10" s="12">
        <v>1</v>
      </c>
      <c r="D10" t="s">
        <v>587</v>
      </c>
      <c r="F10" t="s">
        <v>620</v>
      </c>
    </row>
    <row r="11" spans="1:6">
      <c r="A11" s="4" t="s">
        <v>534</v>
      </c>
      <c r="B11" s="5" t="s">
        <v>535</v>
      </c>
      <c r="C11" s="6">
        <v>40</v>
      </c>
      <c r="D11" t="s">
        <v>590</v>
      </c>
      <c r="F11" t="s">
        <v>603</v>
      </c>
    </row>
    <row r="12" spans="1:6">
      <c r="A12" s="7" t="s">
        <v>547</v>
      </c>
      <c r="B12" s="8" t="s">
        <v>535</v>
      </c>
      <c r="C12" s="9">
        <v>2</v>
      </c>
      <c r="D12" t="s">
        <v>589</v>
      </c>
      <c r="F12" t="s">
        <v>605</v>
      </c>
    </row>
    <row r="13" spans="1:6" ht="15.75" thickBot="1">
      <c r="A13" s="7" t="s">
        <v>539</v>
      </c>
      <c r="B13" s="8" t="s">
        <v>535</v>
      </c>
      <c r="C13" s="9">
        <v>2</v>
      </c>
      <c r="D13" t="s">
        <v>591</v>
      </c>
      <c r="F13" t="s">
        <v>606</v>
      </c>
    </row>
    <row r="14" spans="1:6">
      <c r="A14" s="4" t="s">
        <v>532</v>
      </c>
      <c r="B14" s="5" t="s">
        <v>529</v>
      </c>
      <c r="C14" s="6">
        <v>87</v>
      </c>
      <c r="D14" s="16" t="s">
        <v>596</v>
      </c>
      <c r="E14" s="16" t="s">
        <v>598</v>
      </c>
      <c r="F14" t="s">
        <v>607</v>
      </c>
    </row>
    <row r="15" spans="1:6">
      <c r="A15" s="7" t="s">
        <v>540</v>
      </c>
      <c r="B15" s="8" t="s">
        <v>529</v>
      </c>
      <c r="C15" s="9">
        <v>13</v>
      </c>
      <c r="D15" t="s">
        <v>592</v>
      </c>
      <c r="E15" s="16" t="s">
        <v>601</v>
      </c>
    </row>
    <row r="16" spans="1:6">
      <c r="A16" s="7" t="s">
        <v>544</v>
      </c>
      <c r="B16" s="8" t="s">
        <v>529</v>
      </c>
      <c r="C16" s="9">
        <v>4</v>
      </c>
      <c r="D16" s="17" t="s">
        <v>600</v>
      </c>
      <c r="F16" t="s">
        <v>608</v>
      </c>
    </row>
    <row r="17" spans="1:6" ht="15.75" thickBot="1">
      <c r="A17" s="10" t="s">
        <v>577</v>
      </c>
      <c r="B17" s="11" t="s">
        <v>529</v>
      </c>
      <c r="C17" s="12">
        <v>4</v>
      </c>
      <c r="D17" s="17" t="s">
        <v>597</v>
      </c>
      <c r="E17" s="16" t="s">
        <v>598</v>
      </c>
      <c r="F17" t="s">
        <v>609</v>
      </c>
    </row>
    <row r="18" spans="1:6">
      <c r="A18" s="4" t="s">
        <v>536</v>
      </c>
      <c r="B18" s="5" t="s">
        <v>530</v>
      </c>
      <c r="C18" s="6">
        <v>20</v>
      </c>
      <c r="D18" t="s">
        <v>593</v>
      </c>
      <c r="F18" t="s">
        <v>610</v>
      </c>
    </row>
    <row r="19" spans="1:6" ht="15.75" thickBot="1">
      <c r="A19" s="10" t="s">
        <v>551</v>
      </c>
      <c r="B19" s="11" t="s">
        <v>530</v>
      </c>
      <c r="C19" s="12">
        <v>1</v>
      </c>
      <c r="D19" t="s">
        <v>594</v>
      </c>
      <c r="F19" t="s">
        <v>611</v>
      </c>
    </row>
    <row r="20" spans="1:6" ht="15.75" thickBot="1">
      <c r="A20" s="13"/>
      <c r="B20" s="14" t="s">
        <v>102</v>
      </c>
      <c r="C20" s="15">
        <v>2</v>
      </c>
      <c r="D20" t="s">
        <v>595</v>
      </c>
      <c r="E20" s="16" t="s">
        <v>599</v>
      </c>
      <c r="F20" s="14" t="s">
        <v>102</v>
      </c>
    </row>
  </sheetData>
  <sortState ref="A14:C17">
    <sortCondition descending="1" ref="C3:C6"/>
  </sortState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По порядку</vt:lpstr>
      <vt:lpstr>По алфавиту</vt:lpstr>
      <vt:lpstr>По группам</vt:lpstr>
      <vt:lpstr>По группам всего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anatoly.artemenko@gmail.com</dc:creator>
  <cp:lastModifiedBy>Sumeru</cp:lastModifiedBy>
  <dcterms:created xsi:type="dcterms:W3CDTF">2021-05-05T18:30:26Z</dcterms:created>
  <dcterms:modified xsi:type="dcterms:W3CDTF">2021-06-28T09:32:36Z</dcterms:modified>
</cp:coreProperties>
</file>