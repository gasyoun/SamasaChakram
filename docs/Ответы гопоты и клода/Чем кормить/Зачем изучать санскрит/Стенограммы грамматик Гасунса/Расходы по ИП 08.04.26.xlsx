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ктябрь 2025" sheetId="1" r:id="rId5"/>
    <sheet state="visible" name="Ноябрь 2025" sheetId="2" r:id="rId6"/>
    <sheet state="visible" name="Декабрь 2025" sheetId="3" r:id="rId7"/>
    <sheet state="visible" name="Январь 2026" sheetId="4" r:id="rId8"/>
    <sheet state="visible" name="Февраль 2026" sheetId="5" r:id="rId9"/>
    <sheet state="visible" name="Март 2026" sheetId="6" r:id="rId10"/>
  </sheets>
  <definedNames/>
  <calcPr/>
</workbook>
</file>

<file path=xl/sharedStrings.xml><?xml version="1.0" encoding="utf-8"?>
<sst xmlns="http://schemas.openxmlformats.org/spreadsheetml/2006/main" count="784" uniqueCount="294">
  <si>
    <t>Наименование</t>
  </si>
  <si>
    <t>Сумма</t>
  </si>
  <si>
    <t>Дата</t>
  </si>
  <si>
    <t>С какого счёта была уплачена сумма</t>
  </si>
  <si>
    <t>Открытие ИП</t>
  </si>
  <si>
    <t>Поликарпова Альфа</t>
  </si>
  <si>
    <t>Консультация бухгалтера Татьяны</t>
  </si>
  <si>
    <t>Гасунс сбер</t>
  </si>
  <si>
    <t>Ворошилов</t>
  </si>
  <si>
    <t>Кузнецова</t>
  </si>
  <si>
    <t>ИП</t>
  </si>
  <si>
    <t>Контур (онлайн подписи)</t>
  </si>
  <si>
    <t>Горностаева</t>
  </si>
  <si>
    <t>Леонченко</t>
  </si>
  <si>
    <t>Леонов</t>
  </si>
  <si>
    <t>Литвиненко</t>
  </si>
  <si>
    <t>Дружинин</t>
  </si>
  <si>
    <t xml:space="preserve">Толчельников </t>
  </si>
  <si>
    <t>Любимова</t>
  </si>
  <si>
    <t>преподы</t>
  </si>
  <si>
    <t>Григорьева</t>
  </si>
  <si>
    <t>коллектив</t>
  </si>
  <si>
    <t>Кравченко</t>
  </si>
  <si>
    <t>прочее (айтишники, консультации, реклама, ...)</t>
  </si>
  <si>
    <t>Поликарпова</t>
  </si>
  <si>
    <t>банк</t>
  </si>
  <si>
    <t>Едемская</t>
  </si>
  <si>
    <t>250 долларов PayPal</t>
  </si>
  <si>
    <t>налоги</t>
  </si>
  <si>
    <t>Головченко</t>
  </si>
  <si>
    <t>400 евро PayPal</t>
  </si>
  <si>
    <t>Трефилова</t>
  </si>
  <si>
    <t>Костина</t>
  </si>
  <si>
    <t>607 евро PayPal</t>
  </si>
  <si>
    <t>Уша</t>
  </si>
  <si>
    <t>Лейтан</t>
  </si>
  <si>
    <t>924 евро PayPal</t>
  </si>
  <si>
    <t>Сергей IT</t>
  </si>
  <si>
    <t>Тане за отправку флешки</t>
  </si>
  <si>
    <t>Реклама ВК</t>
  </si>
  <si>
    <t xml:space="preserve">Рекламный кабинет </t>
  </si>
  <si>
    <t>Аренда сервера</t>
  </si>
  <si>
    <t>Взнос ИП</t>
  </si>
  <si>
    <t>Налог на прибыль (должен быть удержан и оплачен в 2026 году)</t>
  </si>
  <si>
    <t>Комиссия банка</t>
  </si>
  <si>
    <t>Онлайн касса</t>
  </si>
  <si>
    <t>Итого:</t>
  </si>
  <si>
    <t>Примечание</t>
  </si>
  <si>
    <t>Парибок</t>
  </si>
  <si>
    <t>за 1й блок</t>
  </si>
  <si>
    <t>Дмитрий обновление сайта</t>
  </si>
  <si>
    <t>Роскомнадзор помощь от Моревой Софии</t>
  </si>
  <si>
    <t>аванс за 2й блок</t>
  </si>
  <si>
    <t>Бухгалтер Прокофьева Марина</t>
  </si>
  <si>
    <t xml:space="preserve">Страховые взносы, исчисленные с суммы дохода свыше 300 000 рублей </t>
  </si>
  <si>
    <t xml:space="preserve"> 588 евро PayPal</t>
  </si>
  <si>
    <t xml:space="preserve">Поликарпова </t>
  </si>
  <si>
    <t>Олег Я. (аренда склада под книги)</t>
  </si>
  <si>
    <t xml:space="preserve">Ворошилов </t>
  </si>
  <si>
    <t>за 2й блок</t>
  </si>
  <si>
    <t>56й блок Синтаксис и 2й блок Васиштха</t>
  </si>
  <si>
    <t xml:space="preserve"> 777 евро PayPal</t>
  </si>
  <si>
    <t xml:space="preserve"> 200 долларов PayPal</t>
  </si>
  <si>
    <t xml:space="preserve"> 170 долларов PayPal</t>
  </si>
  <si>
    <t>Толчельников</t>
  </si>
  <si>
    <t>БГ, Зализняк, веданта, грамматика – везде 2й блок</t>
  </si>
  <si>
    <t>за 23й блок</t>
  </si>
  <si>
    <t>Юридический аудит</t>
  </si>
  <si>
    <t>Консультация по маркировке рекламы</t>
  </si>
  <si>
    <t>Гасунс</t>
  </si>
  <si>
    <t>зп с 12.10 по 13.11 за все его курсы</t>
  </si>
  <si>
    <t>за ноябрь</t>
  </si>
  <si>
    <t>остаток за 2й блок</t>
  </si>
  <si>
    <t>Прокофьева Марина</t>
  </si>
  <si>
    <t xml:space="preserve">Бухгалтер </t>
  </si>
  <si>
    <t xml:space="preserve">Анастасия Маркова </t>
  </si>
  <si>
    <t>возврат за распущенную группу Литвиненко</t>
  </si>
  <si>
    <t>Трефилова Елена</t>
  </si>
  <si>
    <t>за 3й блок грамматики и 2й блок лингвистики</t>
  </si>
  <si>
    <t>Издательство "АБВ"</t>
  </si>
  <si>
    <t>за книги</t>
  </si>
  <si>
    <t>Андрей Клебанов</t>
  </si>
  <si>
    <t>за 1й блок Карак</t>
  </si>
  <si>
    <t xml:space="preserve"> 170 евро PayPal</t>
  </si>
  <si>
    <t>Иван Толчельников</t>
  </si>
  <si>
    <t>БГ 3й блок, Зализн 3й бл, грамм 3й бл</t>
  </si>
  <si>
    <t>за пересылку книг Косте</t>
  </si>
  <si>
    <t>Поликарпова сбер</t>
  </si>
  <si>
    <t>Эдгар Лейтан</t>
  </si>
  <si>
    <t>Синтаксис 57 бл, Васиштха 3 бл</t>
  </si>
  <si>
    <t>1006 евро PayPal</t>
  </si>
  <si>
    <t>Костина Екатерина</t>
  </si>
  <si>
    <t>за 2й блок хинди</t>
  </si>
  <si>
    <t>513 евро PayPal</t>
  </si>
  <si>
    <t>Казначейство РФ</t>
  </si>
  <si>
    <t>Страховые взносы ИП на доход свыше 300 т.р.</t>
  </si>
  <si>
    <t>Любимова Татьяна</t>
  </si>
  <si>
    <t>зп</t>
  </si>
  <si>
    <t>Кравченко Иван</t>
  </si>
  <si>
    <t>Дмитрий Федосеев</t>
  </si>
  <si>
    <t>услуги веб программирования</t>
  </si>
  <si>
    <t>Яковлева А.Ю.</t>
  </si>
  <si>
    <t>юридическое сопровождение</t>
  </si>
  <si>
    <t>Точка банк</t>
  </si>
  <si>
    <t>аналитика нарушений</t>
  </si>
  <si>
    <t>Уша Санка</t>
  </si>
  <si>
    <t>Кали 1 и 2 бл, Гуру 2 и 3 бл, 108 имён 2 и 3 бл</t>
  </si>
  <si>
    <t>Горностаева Оксана</t>
  </si>
  <si>
    <t>Кузнецова Анастасия</t>
  </si>
  <si>
    <t>Ворошилов Максим</t>
  </si>
  <si>
    <t>КШ 3 бл</t>
  </si>
  <si>
    <t>Поликарпова Мария</t>
  </si>
  <si>
    <t>Леонов Максим</t>
  </si>
  <si>
    <t>Литература 3 бл</t>
  </si>
  <si>
    <t>Горбаченко Анастасия</t>
  </si>
  <si>
    <t>зп + НГ премия</t>
  </si>
  <si>
    <t>Тинькоф Поликарповой</t>
  </si>
  <si>
    <t>Григорьева Марина</t>
  </si>
  <si>
    <t>Анучин Павел</t>
  </si>
  <si>
    <t>Страховые взносы ИП Гасунс</t>
  </si>
  <si>
    <t>ИП Поликарпова</t>
  </si>
  <si>
    <t>Электронная подпись ИП Гасунса</t>
  </si>
  <si>
    <t>Дружинин Владимир</t>
  </si>
  <si>
    <t>аюрведа 24 бл</t>
  </si>
  <si>
    <t>Леонченко Владимир</t>
  </si>
  <si>
    <t>астрономия 3 бл</t>
  </si>
  <si>
    <t>премия НГ</t>
  </si>
  <si>
    <t>Антон Филатов</t>
  </si>
  <si>
    <t>контекстная реклама (ИП Герасимова)</t>
  </si>
  <si>
    <t>Гасунс Марцис</t>
  </si>
  <si>
    <t>с 14.11 по 16.12 группы: 42, 50, 51, 53, Бюлер, Наль (осталось не выплаченным 11670,31 + 589 евро и 38 долл)</t>
  </si>
  <si>
    <t>ИП+личная карта Гасунса</t>
  </si>
  <si>
    <t>за декабрь</t>
  </si>
  <si>
    <t>Комиссия банка ЦИБ</t>
  </si>
  <si>
    <t>– преподы</t>
  </si>
  <si>
    <t>– коллектив</t>
  </si>
  <si>
    <t>– налоги и взносы</t>
  </si>
  <si>
    <t>– Точка банк (комиссии, касса, прочее)</t>
  </si>
  <si>
    <t>за 2й блок карак</t>
  </si>
  <si>
    <t>274 евро PayPal</t>
  </si>
  <si>
    <t xml:space="preserve">818250,8+271184,40=1 089 435,2 </t>
  </si>
  <si>
    <t>Индия Свами</t>
  </si>
  <si>
    <t>реклама</t>
  </si>
  <si>
    <t>Сбер Поликарповой</t>
  </si>
  <si>
    <t>Петрова Александра</t>
  </si>
  <si>
    <t>возврат Йога-сутры</t>
  </si>
  <si>
    <t>Данчева Ирина</t>
  </si>
  <si>
    <t>Пучнина Ольга</t>
  </si>
  <si>
    <t>Королёва Людмила</t>
  </si>
  <si>
    <t>Шульга Татьяна</t>
  </si>
  <si>
    <t>Свечников Михаил</t>
  </si>
  <si>
    <t>Сбер Гасунса</t>
  </si>
  <si>
    <t>Елисеева Наталья</t>
  </si>
  <si>
    <t>3 блок хинди + редакция Рамаяны</t>
  </si>
  <si>
    <t>917 евро PayPal</t>
  </si>
  <si>
    <t>Бахтина Анна</t>
  </si>
  <si>
    <t>Ефимовский Александр</t>
  </si>
  <si>
    <t>возвраты</t>
  </si>
  <si>
    <t>Чурилова Анна</t>
  </si>
  <si>
    <t>расходы без учёта возвратов</t>
  </si>
  <si>
    <t>Дьяконова Анфиса</t>
  </si>
  <si>
    <t>вся сумма расходов</t>
  </si>
  <si>
    <t>Евлахова Ирина</t>
  </si>
  <si>
    <t>Марченко (Запольская) Ксения</t>
  </si>
  <si>
    <t>4й грамматика, 3й лингвистика</t>
  </si>
  <si>
    <t>Головченко Константин</t>
  </si>
  <si>
    <t>300 евро PayPal</t>
  </si>
  <si>
    <t>4й блок Литературы</t>
  </si>
  <si>
    <t>58й Синтаксис, 4й Васиштха</t>
  </si>
  <si>
    <t>913 евро PayPal</t>
  </si>
  <si>
    <t>Александр Жарский</t>
  </si>
  <si>
    <t>возврат грамматика</t>
  </si>
  <si>
    <t>ИП Гасунс</t>
  </si>
  <si>
    <t>Наталья Швецова</t>
  </si>
  <si>
    <t>Петухова Анна</t>
  </si>
  <si>
    <t>Толчельников Иван</t>
  </si>
  <si>
    <t>4й БГ, 4й Зализняк, 3й веданта, 4й грамматика</t>
  </si>
  <si>
    <t>4й блок КШ</t>
  </si>
  <si>
    <t>Камера Леонову</t>
  </si>
  <si>
    <t>4й блок астрономии</t>
  </si>
  <si>
    <t>25й аюрведы</t>
  </si>
  <si>
    <t>Федосеев Дмитрий</t>
  </si>
  <si>
    <t>работы по сайту</t>
  </si>
  <si>
    <t>Аменин Дмитрий</t>
  </si>
  <si>
    <t>Контур (электронные подписи)</t>
  </si>
  <si>
    <t>пакет на 100 подписей</t>
  </si>
  <si>
    <t>Филатов Антон (ИП Герасимова)</t>
  </si>
  <si>
    <t>работы по настройке контекстной рекламы</t>
  </si>
  <si>
    <t>СМБ-Сервис (бюджет яндекс директа)</t>
  </si>
  <si>
    <t>пополнение кабинета по контекстной рекламе</t>
  </si>
  <si>
    <t>Нарезка рилсов</t>
  </si>
  <si>
    <t>с 17.12.2025 по 31.01.2026 за группы: 42, 50, 51, 53, Бюлер, Наль</t>
  </si>
  <si>
    <t>ИП Поликарпова и ИП Гасунса</t>
  </si>
  <si>
    <t>осталось не выплачено: 109830 + 854 евро + 38 долларов
98160,68 (январь) + 11670,31 (с декабря) + 589 евро (с декабря) + 265 евро (январь) + 38 долл (с декабря)</t>
  </si>
  <si>
    <t>за январь 2026</t>
  </si>
  <si>
    <t>Комиссия банка ЦИБ + Онлайн касса</t>
  </si>
  <si>
    <t>– возвраты</t>
  </si>
  <si>
    <t>Филатова Любовь</t>
  </si>
  <si>
    <t>3й блок Караки</t>
  </si>
  <si>
    <t>280 евро PayPal</t>
  </si>
  <si>
    <t>Полякова Ирина</t>
  </si>
  <si>
    <t>ИП Гасунса</t>
  </si>
  <si>
    <t>ИП Крисанов Е.Н (Юля)</t>
  </si>
  <si>
    <t>услуги по таргетированной рекламе</t>
  </si>
  <si>
    <t>Сурова Ирина</t>
  </si>
  <si>
    <t>Коровина Ирина</t>
  </si>
  <si>
    <t>взносы с доходов ИП 2025 год</t>
  </si>
  <si>
    <t>ИП Яковлева А.Ю.</t>
  </si>
  <si>
    <t>страховые взносы ИП за 2026</t>
  </si>
  <si>
    <t>премиальные</t>
  </si>
  <si>
    <t>4й блок хинди</t>
  </si>
  <si>
    <t>413 евро PayPal</t>
  </si>
  <si>
    <t>1й-54я, 5й-55я и 4й бл/лингв. по 12.02.26</t>
  </si>
  <si>
    <t>Литвиненко Ольга</t>
  </si>
  <si>
    <t>1й блок 56я; 1й и 2й блоки 57я</t>
  </si>
  <si>
    <t>Охват Наталья</t>
  </si>
  <si>
    <t xml:space="preserve">Лейтан Эдгар </t>
  </si>
  <si>
    <t>59-й блок Синтаксиса и 5-й блок Васиштхи</t>
  </si>
  <si>
    <t>493 евро PayPal</t>
  </si>
  <si>
    <t>Нанавян Маргарита</t>
  </si>
  <si>
    <t>Кали 3 и 4 бл, Гуру 4 бл, Шива 4 бл, Гита 1 бл</t>
  </si>
  <si>
    <t>наличные</t>
  </si>
  <si>
    <t>Рыжонкова Оксана</t>
  </si>
  <si>
    <t>БГ 5бл, Зализняк 5 бл, Веданта 4 бл, грамматика 5 бл</t>
  </si>
  <si>
    <t>макеты расписания</t>
  </si>
  <si>
    <t>Задорожный Олег</t>
  </si>
  <si>
    <t>Донати Рада</t>
  </si>
  <si>
    <t>техническое обеспечение</t>
  </si>
  <si>
    <t>Якуничев Олег</t>
  </si>
  <si>
    <t>аренда склада под книги</t>
  </si>
  <si>
    <t>Агапкин Сергей</t>
  </si>
  <si>
    <t>Киряшова Светлана</t>
  </si>
  <si>
    <t>Данилина Анастасия</t>
  </si>
  <si>
    <t>Колосова Мария</t>
  </si>
  <si>
    <t>4 бл Карак</t>
  </si>
  <si>
    <t>239 евро PayPal</t>
  </si>
  <si>
    <t>часть зп</t>
  </si>
  <si>
    <t>Анатолий Артёменко</t>
  </si>
  <si>
    <t>на аккумуляторы</t>
  </si>
  <si>
    <t>200 долларов</t>
  </si>
  <si>
    <t>26 блок аюрведы</t>
  </si>
  <si>
    <t>Колесникова Ольга</t>
  </si>
  <si>
    <t>Сенлер</t>
  </si>
  <si>
    <t>маркетинг</t>
  </si>
  <si>
    <t>Индия Сегодня</t>
  </si>
  <si>
    <t>с 1 по 28 февраля 2026</t>
  </si>
  <si>
    <t>ИП Гасун</t>
  </si>
  <si>
    <t>официально за февраль насчитано 232760 руб. – вылачено полностью
+ выплачен не выплаченный ранее остаток 109830 руб.
+ 44183,19 (из насчитанного в валюте, выплачено в рублях) – это в пересчёте получается 489,24 евро
невыплаченный остаток в валюте: 1242 евро за февраль + 364,76 евро с прошлых месяцев + 38 долл</t>
  </si>
  <si>
    <t>Индия сегодня</t>
  </si>
  <si>
    <t>Контур Диадок</t>
  </si>
  <si>
    <t>подписи с юр лицами</t>
  </si>
  <si>
    <t>Ришикеш пост</t>
  </si>
  <si>
    <t>Екатерина бухгалтер</t>
  </si>
  <si>
    <t>консультация по налогам</t>
  </si>
  <si>
    <t>налог за 2024</t>
  </si>
  <si>
    <t>налог за 2025</t>
  </si>
  <si>
    <t>налог на прибыль 2026 ИП Поликарпова</t>
  </si>
  <si>
    <t>страховые взносы 2026 ИП Поликарпова</t>
  </si>
  <si>
    <t>Межгалактический дирижабль</t>
  </si>
  <si>
    <t>Артеменко Анатолий</t>
  </si>
  <si>
    <t>zoom</t>
  </si>
  <si>
    <t>220 долларов PayPal</t>
  </si>
  <si>
    <t>ФНС РФ</t>
  </si>
  <si>
    <t>налог НДФЛ</t>
  </si>
  <si>
    <t>Кинескоп</t>
  </si>
  <si>
    <t>услуги по проведению стримов</t>
  </si>
  <si>
    <t xml:space="preserve">Едемская Вера </t>
  </si>
  <si>
    <t>200 долларов PayPal</t>
  </si>
  <si>
    <t>5 блок хинди</t>
  </si>
  <si>
    <t>325 евро PayPal</t>
  </si>
  <si>
    <t>Контур Экстерн</t>
  </si>
  <si>
    <t>документация ФНС, СФР</t>
  </si>
  <si>
    <t>2й-54я, 6й-55я по 18.03.26</t>
  </si>
  <si>
    <t>БГ 6й блок, Зализняк 6й блок, Грамматика 6й блок по 18.03.26</t>
  </si>
  <si>
    <t>2й блок 56я; 3й блок 57я по 18.03.26</t>
  </si>
  <si>
    <t>1 блок КШ 2 + доп занятия</t>
  </si>
  <si>
    <t>ООО "Бегет"</t>
  </si>
  <si>
    <t>хостинг</t>
  </si>
  <si>
    <t>Лейтан Эдгар</t>
  </si>
  <si>
    <t>60й Синтаксис, 61 Васиштха по 21.03.2026</t>
  </si>
  <si>
    <t>763 евро(200 переводы от учеников, 563 евро наш PayPal)</t>
  </si>
  <si>
    <t>Лундышева Ольга</t>
  </si>
  <si>
    <t>1й блок рукописей</t>
  </si>
  <si>
    <t>27 блок аюрведы</t>
  </si>
  <si>
    <t>Claude pro</t>
  </si>
  <si>
    <t>240 долларов PayPal</t>
  </si>
  <si>
    <t>Щербак Сергей (Харитонова Ксения)</t>
  </si>
  <si>
    <t>1й блок географии</t>
  </si>
  <si>
    <t>1й блок литературы</t>
  </si>
  <si>
    <t>премия</t>
  </si>
  <si>
    <t>зп за февраль</t>
  </si>
  <si>
    <t>Сумма зарплаты за март неизвестна
невыплаченный остаток в валюте с прошлых месяцев: 1242 евро за февраль + 364,76 евро с других месяцев + 38 долл</t>
  </si>
  <si>
    <t>Комиссия и услуги банка</t>
  </si>
  <si>
    <t>пока предварительно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</si>
</sst>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.mm.yyyy"/>
    <numFmt numFmtId="165" formatCode="d.m.yyyy"/>
    <numFmt numFmtId="166" formatCode="dd.MM.yyyy"/>
  </numFmts>
  <fonts count="8">
    <font>
      <sz val="10.0"/>
      <color rgb="FF000000"/>
      <name val="Arial"/>
      <scheme val="minor"/>
    </font>
    <font>
      <sz val="12.0"/>
      <color theme="1"/>
      <name val="Roboto"/>
    </font>
    <font>
      <sz val="12.0"/>
      <color theme="1"/>
      <name val="Arial"/>
      <scheme val="minor"/>
    </font>
    <font>
      <color theme="1"/>
      <name val="Arial"/>
      <scheme val="minor"/>
    </font>
    <font>
      <sz val="12.0"/>
      <color rgb="FF191919"/>
      <name val="Roboto"/>
    </font>
    <font>
      <sz val="12.0"/>
      <color rgb="FF000000"/>
      <name val="-webkit-standard"/>
    </font>
    <font>
      <sz val="12.0"/>
      <color rgb="FF000000"/>
      <name val="Arial"/>
    </font>
    <font>
      <sz val="12.0"/>
      <color rgb="FF000000"/>
      <name val="Roboto"/>
    </font>
  </fonts>
  <fills count="12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9F9F9"/>
        <bgColor rgb="FFF9F9F9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  <fill>
      <patternFill patternType="solid">
        <fgColor rgb="FFFFFF00"/>
        <bgColor rgb="FFFFFF00"/>
      </patternFill>
    </fill>
  </fills>
  <borders count="4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horizontal="center" readingOrder="0" shrinkToFit="0" vertical="top" wrapText="1"/>
    </xf>
    <xf borderId="2" fillId="0" fontId="1" numFmtId="0" xfId="0" applyAlignment="1" applyBorder="1" applyFont="1">
      <alignment horizontal="left" readingOrder="0"/>
    </xf>
    <xf borderId="2" fillId="0" fontId="1" numFmtId="0" xfId="0" applyAlignment="1" applyBorder="1" applyFont="1">
      <alignment horizontal="right" readingOrder="0" vertical="top"/>
    </xf>
    <xf borderId="2" fillId="0" fontId="1" numFmtId="164" xfId="0" applyAlignment="1" applyBorder="1" applyFont="1" applyNumberFormat="1">
      <alignment horizontal="right" readingOrder="0"/>
    </xf>
    <xf borderId="2" fillId="0" fontId="1" numFmtId="0" xfId="0" applyAlignment="1" applyBorder="1" applyFont="1">
      <alignment horizontal="right" readingOrder="0"/>
    </xf>
    <xf borderId="2" fillId="0" fontId="1" numFmtId="0" xfId="0" applyAlignment="1" applyBorder="1" applyFont="1">
      <alignment horizontal="left" readingOrder="0" shrinkToFit="0" wrapText="1"/>
    </xf>
    <xf borderId="3" fillId="0" fontId="1" numFmtId="0" xfId="0" applyAlignment="1" applyBorder="1" applyFont="1">
      <alignment horizontal="right" readingOrder="0" vertical="top"/>
    </xf>
    <xf borderId="2" fillId="2" fontId="1" numFmtId="0" xfId="0" applyAlignment="1" applyBorder="1" applyFill="1" applyFont="1">
      <alignment horizontal="left" readingOrder="0"/>
    </xf>
    <xf borderId="3" fillId="0" fontId="1" numFmtId="0" xfId="0" applyAlignment="1" applyBorder="1" applyFont="1">
      <alignment horizontal="right" readingOrder="0"/>
    </xf>
    <xf borderId="2" fillId="3" fontId="1" numFmtId="0" xfId="0" applyAlignment="1" applyBorder="1" applyFill="1" applyFont="1">
      <alignment horizontal="left" readingOrder="0"/>
    </xf>
    <xf borderId="2" fillId="0" fontId="1" numFmtId="165" xfId="0" applyAlignment="1" applyBorder="1" applyFont="1" applyNumberFormat="1">
      <alignment horizontal="right" readingOrder="0"/>
    </xf>
    <xf borderId="3" fillId="0" fontId="1" numFmtId="0" xfId="0" applyAlignment="1" applyBorder="1" applyFont="1">
      <alignment horizontal="left" readingOrder="0"/>
    </xf>
    <xf borderId="3" fillId="0" fontId="1" numFmtId="165" xfId="0" applyAlignment="1" applyBorder="1" applyFont="1" applyNumberFormat="1">
      <alignment horizontal="right" readingOrder="0"/>
    </xf>
    <xf borderId="0" fillId="0" fontId="1" numFmtId="0" xfId="0" applyAlignment="1" applyFont="1">
      <alignment readingOrder="0"/>
    </xf>
    <xf borderId="3" fillId="2" fontId="1" numFmtId="0" xfId="0" applyAlignment="1" applyBorder="1" applyFont="1">
      <alignment horizontal="left" readingOrder="0"/>
    </xf>
    <xf borderId="0" fillId="0" fontId="1" numFmtId="9" xfId="0" applyAlignment="1" applyFont="1" applyNumberFormat="1">
      <alignment readingOrder="0"/>
    </xf>
    <xf borderId="3" fillId="0" fontId="1" numFmtId="165" xfId="0" applyAlignment="1" applyBorder="1" applyFont="1" applyNumberFormat="1">
      <alignment readingOrder="0"/>
    </xf>
    <xf borderId="3" fillId="3" fontId="1" numFmtId="0" xfId="0" applyAlignment="1" applyBorder="1" applyFont="1">
      <alignment horizontal="left"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4" xfId="0" applyFont="1" applyNumberFormat="1"/>
    <xf borderId="0" fillId="0" fontId="3" numFmtId="0" xfId="0" applyFont="1"/>
    <xf borderId="3" fillId="4" fontId="1" numFmtId="0" xfId="0" applyAlignment="1" applyBorder="1" applyFill="1" applyFont="1">
      <alignment horizontal="left" readingOrder="0" shrinkToFit="0" wrapText="1"/>
    </xf>
    <xf borderId="3" fillId="5" fontId="4" numFmtId="0" xfId="0" applyAlignment="1" applyBorder="1" applyFill="1" applyFont="1">
      <alignment horizontal="right" readingOrder="0" vertical="top"/>
    </xf>
    <xf borderId="2" fillId="0" fontId="1" numFmtId="165" xfId="0" applyAlignment="1" applyBorder="1" applyFont="1" applyNumberFormat="1">
      <alignment horizontal="right" readingOrder="0" shrinkToFit="0" vertical="top" wrapText="1"/>
    </xf>
    <xf borderId="0" fillId="0" fontId="5" numFmtId="0" xfId="0" applyAlignment="1" applyFont="1">
      <alignment readingOrder="0"/>
    </xf>
    <xf borderId="3" fillId="6" fontId="1" numFmtId="0" xfId="0" applyAlignment="1" applyBorder="1" applyFill="1" applyFont="1">
      <alignment horizontal="left" readingOrder="0" shrinkToFit="0" wrapText="1"/>
    </xf>
    <xf borderId="3" fillId="0" fontId="6" numFmtId="0" xfId="0" applyAlignment="1" applyBorder="1" applyFont="1">
      <alignment readingOrder="0" vertical="top"/>
    </xf>
    <xf borderId="3" fillId="0" fontId="6" numFmtId="4" xfId="0" applyAlignment="1" applyBorder="1" applyFont="1" applyNumberFormat="1">
      <alignment readingOrder="0" vertical="top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right"/>
    </xf>
    <xf borderId="0" fillId="7" fontId="4" numFmtId="0" xfId="0" applyAlignment="1" applyFill="1" applyFont="1">
      <alignment horizontal="left" readingOrder="0" shrinkToFit="0" wrapText="0"/>
    </xf>
    <xf borderId="0" fillId="0" fontId="2" numFmtId="9" xfId="0" applyAlignment="1" applyFont="1" applyNumberForma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right" readingOrder="0"/>
    </xf>
    <xf borderId="0" fillId="0" fontId="3" numFmtId="0" xfId="0" applyAlignment="1" applyFont="1">
      <alignment horizontal="right"/>
    </xf>
    <xf borderId="0" fillId="0" fontId="1" numFmtId="0" xfId="0" applyFont="1"/>
    <xf borderId="2" fillId="2" fontId="1" numFmtId="0" xfId="0" applyAlignment="1" applyBorder="1" applyFont="1">
      <alignment horizontal="left" readingOrder="0" vertical="top"/>
    </xf>
    <xf borderId="2" fillId="0" fontId="1" numFmtId="0" xfId="0" applyAlignment="1" applyBorder="1" applyFont="1">
      <alignment horizontal="left" readingOrder="0" vertical="top"/>
    </xf>
    <xf borderId="2" fillId="0" fontId="1" numFmtId="4" xfId="0" applyAlignment="1" applyBorder="1" applyFont="1" applyNumberFormat="1">
      <alignment horizontal="right" readingOrder="0" vertical="top"/>
    </xf>
    <xf borderId="2" fillId="0" fontId="1" numFmtId="164" xfId="0" applyAlignment="1" applyBorder="1" applyFont="1" applyNumberFormat="1">
      <alignment horizontal="right" readingOrder="0" vertical="top"/>
    </xf>
    <xf borderId="3" fillId="0" fontId="1" numFmtId="0" xfId="0" applyAlignment="1" applyBorder="1" applyFont="1">
      <alignment horizontal="left" readingOrder="0" vertical="top"/>
    </xf>
    <xf borderId="3" fillId="0" fontId="1" numFmtId="4" xfId="0" applyAlignment="1" applyBorder="1" applyFont="1" applyNumberFormat="1">
      <alignment horizontal="right" readingOrder="0" vertical="top"/>
    </xf>
    <xf borderId="2" fillId="0" fontId="1" numFmtId="165" xfId="0" applyAlignment="1" applyBorder="1" applyFont="1" applyNumberFormat="1">
      <alignment horizontal="right" readingOrder="0" vertical="top"/>
    </xf>
    <xf borderId="3" fillId="0" fontId="1" numFmtId="0" xfId="0" applyAlignment="1" applyBorder="1" applyFont="1">
      <alignment horizontal="left" readingOrder="0" shrinkToFit="0" vertical="top" wrapText="1"/>
    </xf>
    <xf borderId="0" fillId="7" fontId="4" numFmtId="4" xfId="0" applyAlignment="1" applyFont="1" applyNumberFormat="1">
      <alignment horizontal="left" readingOrder="0" shrinkToFit="0" vertical="top" wrapText="0"/>
    </xf>
    <xf borderId="3" fillId="2" fontId="1" numFmtId="0" xfId="0" applyAlignment="1" applyBorder="1" applyFont="1">
      <alignment horizontal="left" readingOrder="0" vertical="top"/>
    </xf>
    <xf borderId="3" fillId="0" fontId="1" numFmtId="165" xfId="0" applyAlignment="1" applyBorder="1" applyFont="1" applyNumberFormat="1">
      <alignment horizontal="right" readingOrder="0" vertical="top"/>
    </xf>
    <xf borderId="0" fillId="0" fontId="1" numFmtId="10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3" fillId="4" fontId="1" numFmtId="0" xfId="0" applyAlignment="1" applyBorder="1" applyFont="1">
      <alignment horizontal="left" readingOrder="0" shrinkToFit="0" vertical="top" wrapText="1"/>
    </xf>
    <xf borderId="3" fillId="5" fontId="4" numFmtId="4" xfId="0" applyAlignment="1" applyBorder="1" applyFont="1" applyNumberFormat="1">
      <alignment horizontal="right" readingOrder="0" vertical="top"/>
    </xf>
    <xf borderId="3" fillId="2" fontId="1" numFmtId="0" xfId="0" applyAlignment="1" applyBorder="1" applyFont="1">
      <alignment horizontal="left" readingOrder="0" shrinkToFit="0" vertical="top" wrapText="1"/>
    </xf>
    <xf borderId="3" fillId="8" fontId="1" numFmtId="0" xfId="0" applyAlignment="1" applyBorder="1" applyFill="1" applyFont="1">
      <alignment horizontal="left" readingOrder="0" vertical="top"/>
    </xf>
    <xf borderId="3" fillId="0" fontId="1" numFmtId="165" xfId="0" applyAlignment="1" applyBorder="1" applyFont="1" applyNumberFormat="1">
      <alignment readingOrder="0" vertical="top"/>
    </xf>
    <xf borderId="0" fillId="0" fontId="1" numFmtId="4" xfId="0" applyFont="1" applyNumberFormat="1"/>
    <xf borderId="0" fillId="0" fontId="3" numFmtId="4" xfId="0" applyFont="1" applyNumberFormat="1"/>
    <xf borderId="3" fillId="8" fontId="1" numFmtId="0" xfId="0" applyAlignment="1" applyBorder="1" applyFont="1">
      <alignment horizontal="left" readingOrder="0" shrinkToFit="0" vertical="top" wrapText="1"/>
    </xf>
    <xf borderId="0" fillId="0" fontId="7" numFmtId="0" xfId="0" applyAlignment="1" applyFont="1">
      <alignment readingOrder="0"/>
    </xf>
    <xf borderId="0" fillId="0" fontId="7" numFmtId="4" xfId="0" applyAlignment="1" applyFont="1" applyNumberFormat="1">
      <alignment readingOrder="0"/>
    </xf>
    <xf borderId="3" fillId="0" fontId="7" numFmtId="4" xfId="0" applyAlignment="1" applyBorder="1" applyFont="1" applyNumberFormat="1">
      <alignment readingOrder="0" vertical="top"/>
    </xf>
    <xf borderId="3" fillId="6" fontId="1" numFmtId="0" xfId="0" applyAlignment="1" applyBorder="1" applyFont="1">
      <alignment horizontal="left" readingOrder="0" shrinkToFit="0" vertical="top" wrapText="1"/>
    </xf>
    <xf borderId="0" fillId="0" fontId="4" numFmtId="4" xfId="0" applyAlignment="1" applyFont="1" applyNumberFormat="1">
      <alignment horizontal="left" readingOrder="0" shrinkToFit="0" vertical="top" wrapText="0"/>
    </xf>
    <xf borderId="3" fillId="6" fontId="1" numFmtId="0" xfId="0" applyAlignment="1" applyBorder="1" applyFont="1">
      <alignment horizontal="left" readingOrder="0" vertical="top"/>
    </xf>
    <xf borderId="3" fillId="0" fontId="1" numFmtId="165" xfId="0" applyAlignment="1" applyBorder="1" applyFont="1" applyNumberFormat="1">
      <alignment horizontal="right" readingOrder="0" shrinkToFit="0" vertical="top" wrapText="1"/>
    </xf>
    <xf borderId="0" fillId="7" fontId="7" numFmtId="0" xfId="0" applyAlignment="1" applyFont="1">
      <alignment horizontal="left" readingOrder="0" shrinkToFit="0" wrapText="1"/>
    </xf>
    <xf borderId="3" fillId="0" fontId="1" numFmtId="0" xfId="0" applyAlignment="1" applyBorder="1" applyFont="1">
      <alignment horizontal="right" readingOrder="0" shrinkToFit="0" vertical="top" wrapText="1"/>
    </xf>
    <xf borderId="0" fillId="2" fontId="1" numFmtId="0" xfId="0" applyAlignment="1" applyFont="1">
      <alignment horizontal="left"/>
    </xf>
    <xf borderId="0" fillId="8" fontId="1" numFmtId="0" xfId="0" applyAlignment="1" applyFont="1">
      <alignment horizontal="left"/>
    </xf>
    <xf borderId="0" fillId="4" fontId="1" numFmtId="0" xfId="0" applyAlignment="1" applyFont="1">
      <alignment horizontal="left" readingOrder="0"/>
    </xf>
    <xf borderId="0" fillId="6" fontId="1" numFmtId="0" xfId="0" applyAlignment="1" applyFont="1">
      <alignment horizontal="left" readingOrder="0"/>
    </xf>
    <xf borderId="3" fillId="9" fontId="1" numFmtId="0" xfId="0" applyAlignment="1" applyBorder="1" applyFill="1" applyFont="1">
      <alignment horizontal="left" readingOrder="0" shrinkToFit="0" vertical="top" wrapText="1"/>
    </xf>
    <xf borderId="3" fillId="9" fontId="1" numFmtId="0" xfId="0" applyAlignment="1" applyBorder="1" applyFont="1">
      <alignment horizontal="left" readingOrder="0" vertical="top"/>
    </xf>
    <xf borderId="3" fillId="0" fontId="4" numFmtId="4" xfId="0" applyAlignment="1" applyBorder="1" applyFont="1" applyNumberFormat="1">
      <alignment horizontal="right" readingOrder="0" vertical="top"/>
    </xf>
    <xf borderId="0" fillId="7" fontId="7" numFmtId="0" xfId="0" applyAlignment="1" applyFont="1">
      <alignment horizontal="left" readingOrder="0" shrinkToFit="0" vertical="top" wrapText="1"/>
    </xf>
    <xf borderId="0" fillId="10" fontId="3" numFmtId="0" xfId="0" applyFill="1" applyFont="1"/>
    <xf borderId="2" fillId="10" fontId="1" numFmtId="0" xfId="0" applyAlignment="1" applyBorder="1" applyFont="1">
      <alignment horizontal="left" readingOrder="0" vertical="top"/>
    </xf>
    <xf borderId="3" fillId="10" fontId="1" numFmtId="0" xfId="0" applyAlignment="1" applyBorder="1" applyFont="1">
      <alignment horizontal="left" readingOrder="0" vertical="top"/>
    </xf>
    <xf borderId="3" fillId="10" fontId="1" numFmtId="0" xfId="0" applyAlignment="1" applyBorder="1" applyFont="1">
      <alignment horizontal="left" readingOrder="0" shrinkToFit="0" vertical="top" wrapText="1"/>
    </xf>
    <xf borderId="3" fillId="0" fontId="1" numFmtId="166" xfId="0" applyAlignment="1" applyBorder="1" applyFont="1" applyNumberFormat="1">
      <alignment horizontal="right" readingOrder="0" vertical="top"/>
    </xf>
    <xf borderId="3" fillId="0" fontId="1" numFmtId="166" xfId="0" applyAlignment="1" applyBorder="1" applyFont="1" applyNumberFormat="1">
      <alignment readingOrder="0" vertical="top"/>
    </xf>
    <xf borderId="0" fillId="0" fontId="7" numFmtId="0" xfId="0" applyAlignment="1" applyFont="1">
      <alignment readingOrder="0" shrinkToFit="0" wrapText="1"/>
    </xf>
    <xf borderId="2" fillId="0" fontId="1" numFmtId="166" xfId="0" applyAlignment="1" applyBorder="1" applyFont="1" applyNumberFormat="1">
      <alignment horizontal="right" readingOrder="0" shrinkToFit="0" vertical="top" wrapText="1"/>
    </xf>
    <xf borderId="3" fillId="4" fontId="1" numFmtId="0" xfId="0" applyAlignment="1" applyBorder="1" applyFont="1">
      <alignment horizontal="left" readingOrder="0" vertical="top"/>
    </xf>
    <xf borderId="0" fillId="2" fontId="7" numFmtId="0" xfId="0" applyAlignment="1" applyFont="1">
      <alignment readingOrder="0"/>
    </xf>
    <xf borderId="3" fillId="2" fontId="7" numFmtId="0" xfId="0" applyAlignment="1" applyBorder="1" applyFont="1">
      <alignment readingOrder="0" vertical="top"/>
    </xf>
    <xf borderId="3" fillId="0" fontId="7" numFmtId="0" xfId="0" applyAlignment="1" applyBorder="1" applyFont="1">
      <alignment readingOrder="0" shrinkToFit="0" vertical="top" wrapText="1"/>
    </xf>
    <xf borderId="2" fillId="0" fontId="1" numFmtId="0" xfId="0" applyAlignment="1" applyBorder="1" applyFont="1">
      <alignment horizontal="right" readingOrder="0" shrinkToFit="0" vertical="top" wrapText="1"/>
    </xf>
    <xf borderId="0" fillId="11" fontId="7" numFmtId="0" xfId="0" applyAlignment="1" applyFill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  <col customWidth="1" min="2" max="2" width="23.63"/>
    <col customWidth="1" min="3" max="4" width="24.13"/>
  </cols>
  <sheetData>
    <row r="1">
      <c r="A1" s="1" t="s">
        <v>0</v>
      </c>
      <c r="B1" s="1" t="s">
        <v>1</v>
      </c>
      <c r="C1" s="2" t="s">
        <v>2</v>
      </c>
      <c r="D1" s="2" t="s">
        <v>3</v>
      </c>
    </row>
    <row r="2">
      <c r="A2" s="3" t="s">
        <v>4</v>
      </c>
      <c r="B2" s="4">
        <v>4600.0</v>
      </c>
      <c r="C2" s="5">
        <v>45882.0</v>
      </c>
      <c r="D2" s="6" t="s">
        <v>5</v>
      </c>
    </row>
    <row r="3">
      <c r="A3" s="7" t="s">
        <v>6</v>
      </c>
      <c r="B3" s="4">
        <v>10000.0</v>
      </c>
      <c r="C3" s="5">
        <v>45869.0</v>
      </c>
      <c r="D3" s="8" t="s">
        <v>7</v>
      </c>
    </row>
    <row r="4">
      <c r="A4" s="9" t="s">
        <v>8</v>
      </c>
      <c r="B4" s="4">
        <v>47100.0</v>
      </c>
      <c r="C4" s="5">
        <v>45931.0</v>
      </c>
      <c r="D4" s="10" t="s">
        <v>7</v>
      </c>
    </row>
    <row r="5">
      <c r="A5" s="11" t="s">
        <v>9</v>
      </c>
      <c r="B5" s="4">
        <v>64000.0</v>
      </c>
      <c r="C5" s="12">
        <v>45943.0</v>
      </c>
      <c r="D5" s="6" t="s">
        <v>10</v>
      </c>
    </row>
    <row r="6">
      <c r="A6" s="13" t="s">
        <v>11</v>
      </c>
      <c r="B6" s="8">
        <v>1200.0</v>
      </c>
      <c r="C6" s="14">
        <v>45945.0</v>
      </c>
      <c r="D6" s="10" t="s">
        <v>10</v>
      </c>
      <c r="F6" s="15"/>
      <c r="G6" s="15">
        <v>1960911.91</v>
      </c>
    </row>
    <row r="7">
      <c r="A7" s="16" t="s">
        <v>12</v>
      </c>
      <c r="B7" s="8">
        <v>34600.0</v>
      </c>
      <c r="C7" s="14">
        <v>45954.0</v>
      </c>
      <c r="D7" s="10" t="s">
        <v>10</v>
      </c>
      <c r="G7" s="17">
        <v>-0.06</v>
      </c>
    </row>
    <row r="8">
      <c r="A8" s="16" t="s">
        <v>13</v>
      </c>
      <c r="B8" s="8">
        <v>24720.0</v>
      </c>
      <c r="C8" s="14">
        <v>45955.0</v>
      </c>
      <c r="D8" s="10" t="s">
        <v>10</v>
      </c>
      <c r="G8" s="15">
        <v>1843257.2</v>
      </c>
    </row>
    <row r="9">
      <c r="A9" s="16" t="s">
        <v>14</v>
      </c>
      <c r="B9" s="8">
        <v>15000.0</v>
      </c>
      <c r="C9" s="14">
        <v>45955.0</v>
      </c>
      <c r="D9" s="10" t="s">
        <v>10</v>
      </c>
    </row>
    <row r="10">
      <c r="A10" s="16" t="s">
        <v>15</v>
      </c>
      <c r="B10" s="8">
        <v>9000.0</v>
      </c>
      <c r="C10" s="14">
        <v>45955.0</v>
      </c>
      <c r="D10" s="10" t="s">
        <v>10</v>
      </c>
    </row>
    <row r="11">
      <c r="A11" s="16" t="s">
        <v>16</v>
      </c>
      <c r="B11" s="8">
        <v>36000.0</v>
      </c>
      <c r="C11" s="18">
        <v>45956.0</v>
      </c>
      <c r="D11" s="10" t="s">
        <v>10</v>
      </c>
    </row>
    <row r="12">
      <c r="A12" s="16" t="s">
        <v>17</v>
      </c>
      <c r="B12" s="8">
        <v>62700.0</v>
      </c>
      <c r="C12" s="18">
        <v>45956.0</v>
      </c>
      <c r="D12" s="10" t="s">
        <v>10</v>
      </c>
    </row>
    <row r="13">
      <c r="A13" s="19" t="s">
        <v>18</v>
      </c>
      <c r="B13" s="8">
        <v>25000.0</v>
      </c>
      <c r="C13" s="14">
        <v>45944.0</v>
      </c>
      <c r="D13" s="10" t="s">
        <v>7</v>
      </c>
      <c r="G13" s="20">
        <f>B4+B7+B8+B9+B10+B11+B12+B19+B20+B21+B22</f>
        <v>570212</v>
      </c>
      <c r="H13" s="21" t="s">
        <v>19</v>
      </c>
    </row>
    <row r="14">
      <c r="A14" s="19" t="s">
        <v>20</v>
      </c>
      <c r="B14" s="8">
        <v>30000.0</v>
      </c>
      <c r="C14" s="14">
        <v>45944.0</v>
      </c>
      <c r="D14" s="10" t="s">
        <v>7</v>
      </c>
      <c r="G14" s="20">
        <f>B5+B13+B14+B15+B16+B17+B18</f>
        <v>237000</v>
      </c>
      <c r="H14" s="21" t="s">
        <v>21</v>
      </c>
    </row>
    <row r="15">
      <c r="A15" s="19" t="s">
        <v>22</v>
      </c>
      <c r="B15" s="8">
        <v>11000.0</v>
      </c>
      <c r="C15" s="14">
        <v>45944.0</v>
      </c>
      <c r="D15" s="10" t="s">
        <v>7</v>
      </c>
      <c r="G15" s="20">
        <f>B2+B3+B6+B23+B24+B25+B26+B27</f>
        <v>135800</v>
      </c>
      <c r="H15" s="21" t="s">
        <v>23</v>
      </c>
    </row>
    <row r="16">
      <c r="A16" s="19" t="s">
        <v>24</v>
      </c>
      <c r="B16" s="8">
        <v>50000.0</v>
      </c>
      <c r="C16" s="14">
        <v>45943.0</v>
      </c>
      <c r="D16" s="10" t="s">
        <v>7</v>
      </c>
      <c r="G16" s="22">
        <f>B30+B31</f>
        <v>40696.55</v>
      </c>
      <c r="H16" s="21" t="s">
        <v>25</v>
      </c>
    </row>
    <row r="17">
      <c r="A17" s="19" t="s">
        <v>26</v>
      </c>
      <c r="B17" s="8">
        <v>20000.0</v>
      </c>
      <c r="C17" s="14">
        <v>45944.0</v>
      </c>
      <c r="D17" s="10" t="s">
        <v>27</v>
      </c>
      <c r="G17" s="20">
        <f>B28+B29</f>
        <v>139002.52</v>
      </c>
      <c r="H17" s="21" t="s">
        <v>28</v>
      </c>
      <c r="J17" s="23">
        <f>G17-B29</f>
        <v>21347.81</v>
      </c>
    </row>
    <row r="18">
      <c r="A18" s="19" t="s">
        <v>29</v>
      </c>
      <c r="B18" s="8">
        <v>37000.0</v>
      </c>
      <c r="C18" s="14">
        <v>45944.0</v>
      </c>
      <c r="D18" s="10" t="s">
        <v>30</v>
      </c>
      <c r="G18" s="20">
        <f>SUM(G13:G17)</f>
        <v>1122711.07</v>
      </c>
    </row>
    <row r="19">
      <c r="A19" s="16" t="s">
        <v>31</v>
      </c>
      <c r="B19" s="8">
        <v>10230.0</v>
      </c>
      <c r="C19" s="14">
        <v>45956.0</v>
      </c>
      <c r="D19" s="10" t="s">
        <v>7</v>
      </c>
    </row>
    <row r="20">
      <c r="A20" s="16" t="s">
        <v>32</v>
      </c>
      <c r="B20" s="8">
        <v>57600.0</v>
      </c>
      <c r="C20" s="10"/>
      <c r="D20" s="10" t="s">
        <v>33</v>
      </c>
      <c r="G20" s="20">
        <f>G18-G17</f>
        <v>983708.55</v>
      </c>
    </row>
    <row r="21">
      <c r="A21" s="16" t="s">
        <v>34</v>
      </c>
      <c r="B21" s="8">
        <v>190000.0</v>
      </c>
      <c r="C21" s="14">
        <v>45947.0</v>
      </c>
      <c r="D21" s="10" t="s">
        <v>7</v>
      </c>
    </row>
    <row r="22">
      <c r="A22" s="16" t="s">
        <v>35</v>
      </c>
      <c r="B22" s="8">
        <v>83262.0</v>
      </c>
      <c r="C22" s="14">
        <v>45958.0</v>
      </c>
      <c r="D22" s="10" t="s">
        <v>36</v>
      </c>
    </row>
    <row r="23">
      <c r="A23" s="13" t="s">
        <v>37</v>
      </c>
      <c r="B23" s="8">
        <v>68000.0</v>
      </c>
      <c r="C23" s="12">
        <v>45960.0</v>
      </c>
      <c r="D23" s="6" t="s">
        <v>10</v>
      </c>
    </row>
    <row r="24">
      <c r="A24" s="13" t="s">
        <v>38</v>
      </c>
      <c r="B24" s="8">
        <v>5000.0</v>
      </c>
      <c r="C24" s="14">
        <v>45950.0</v>
      </c>
      <c r="D24" s="10" t="s">
        <v>7</v>
      </c>
    </row>
    <row r="25">
      <c r="A25" s="13" t="s">
        <v>39</v>
      </c>
      <c r="B25" s="8">
        <v>41000.0</v>
      </c>
      <c r="C25" s="10"/>
      <c r="D25" s="10" t="s">
        <v>7</v>
      </c>
    </row>
    <row r="26">
      <c r="A26" s="13" t="s">
        <v>40</v>
      </c>
      <c r="B26" s="8">
        <v>5000.0</v>
      </c>
      <c r="C26" s="10"/>
      <c r="D26" s="10" t="s">
        <v>7</v>
      </c>
    </row>
    <row r="27">
      <c r="A27" s="13" t="s">
        <v>41</v>
      </c>
      <c r="B27" s="8">
        <v>1000.0</v>
      </c>
      <c r="C27" s="10"/>
      <c r="D27" s="10" t="s">
        <v>7</v>
      </c>
    </row>
    <row r="28">
      <c r="A28" s="24" t="s">
        <v>42</v>
      </c>
      <c r="B28" s="25">
        <v>21347.81</v>
      </c>
      <c r="C28" s="12">
        <v>45957.0</v>
      </c>
      <c r="D28" s="6" t="s">
        <v>10</v>
      </c>
    </row>
    <row r="29">
      <c r="A29" s="24" t="s">
        <v>43</v>
      </c>
      <c r="B29" s="25">
        <f>G6-G8</f>
        <v>117654.71</v>
      </c>
      <c r="C29" s="26">
        <v>45961.0</v>
      </c>
      <c r="D29" s="4" t="s">
        <v>10</v>
      </c>
      <c r="F29" s="27"/>
      <c r="G29" s="27"/>
    </row>
    <row r="30">
      <c r="A30" s="28" t="s">
        <v>44</v>
      </c>
      <c r="B30" s="29">
        <v>11867.14</v>
      </c>
      <c r="C30" s="26">
        <v>45961.0</v>
      </c>
      <c r="D30" s="6" t="s">
        <v>10</v>
      </c>
    </row>
    <row r="31">
      <c r="A31" s="28" t="s">
        <v>45</v>
      </c>
      <c r="B31" s="30">
        <v>28829.41</v>
      </c>
      <c r="C31" s="26">
        <v>45961.0</v>
      </c>
      <c r="D31" s="6" t="s">
        <v>10</v>
      </c>
    </row>
    <row r="32">
      <c r="A32" s="13" t="s">
        <v>46</v>
      </c>
      <c r="B32" s="8">
        <f>SUM(B2:B31)</f>
        <v>1122711.07</v>
      </c>
      <c r="C32" s="6"/>
      <c r="D32" s="6"/>
    </row>
    <row r="33">
      <c r="A33" s="31"/>
      <c r="B33" s="32"/>
    </row>
    <row r="34">
      <c r="A34" s="31"/>
      <c r="B34" s="32"/>
    </row>
    <row r="35">
      <c r="A35" s="31"/>
      <c r="B35" s="32"/>
    </row>
    <row r="36">
      <c r="A36" s="31"/>
      <c r="B36" s="32"/>
      <c r="F36" s="33"/>
      <c r="G36" s="34"/>
    </row>
    <row r="37">
      <c r="A37" s="35"/>
      <c r="B37" s="32"/>
    </row>
    <row r="38">
      <c r="A38" s="35"/>
      <c r="B38" s="36"/>
    </row>
    <row r="39">
      <c r="A39" s="35"/>
      <c r="B39" s="36"/>
    </row>
    <row r="40">
      <c r="A40" s="35"/>
      <c r="B40" s="36"/>
    </row>
    <row r="41">
      <c r="B41" s="37"/>
    </row>
    <row r="42">
      <c r="B42" s="37"/>
    </row>
    <row r="43">
      <c r="B43" s="37"/>
    </row>
    <row r="44">
      <c r="B44" s="37"/>
    </row>
    <row r="45">
      <c r="B45" s="37"/>
    </row>
    <row r="46">
      <c r="B46" s="37"/>
    </row>
    <row r="47">
      <c r="B47" s="37"/>
    </row>
    <row r="48">
      <c r="B48" s="37"/>
    </row>
    <row r="49">
      <c r="B49" s="37"/>
    </row>
    <row r="50">
      <c r="B50" s="37"/>
    </row>
    <row r="51">
      <c r="B51" s="37"/>
    </row>
    <row r="52">
      <c r="B52" s="37"/>
    </row>
    <row r="53">
      <c r="B53" s="37"/>
    </row>
    <row r="54">
      <c r="B54" s="37"/>
    </row>
    <row r="55">
      <c r="B55" s="37"/>
    </row>
    <row r="56">
      <c r="B56" s="37"/>
    </row>
    <row r="57">
      <c r="B57" s="37"/>
    </row>
    <row r="58">
      <c r="B58" s="37"/>
    </row>
    <row r="59">
      <c r="B59" s="37"/>
    </row>
    <row r="60">
      <c r="B60" s="37"/>
    </row>
    <row r="61">
      <c r="B61" s="37"/>
    </row>
    <row r="62">
      <c r="B62" s="37"/>
    </row>
    <row r="63">
      <c r="B63" s="37"/>
    </row>
    <row r="64">
      <c r="B64" s="37"/>
    </row>
    <row r="65">
      <c r="B65" s="37"/>
    </row>
    <row r="66">
      <c r="B66" s="37"/>
    </row>
    <row r="67">
      <c r="B67" s="37"/>
    </row>
    <row r="68">
      <c r="B68" s="37"/>
    </row>
    <row r="69">
      <c r="B69" s="37"/>
    </row>
    <row r="70">
      <c r="B70" s="37"/>
    </row>
    <row r="71">
      <c r="B71" s="37"/>
    </row>
    <row r="72">
      <c r="B72" s="37"/>
    </row>
    <row r="73">
      <c r="B73" s="37"/>
    </row>
    <row r="74">
      <c r="B74" s="37"/>
    </row>
    <row r="75">
      <c r="B75" s="37"/>
    </row>
    <row r="76">
      <c r="B76" s="37"/>
    </row>
    <row r="77">
      <c r="B77" s="37"/>
    </row>
    <row r="78">
      <c r="B78" s="37"/>
    </row>
    <row r="79">
      <c r="B79" s="37"/>
    </row>
    <row r="80">
      <c r="B80" s="37"/>
    </row>
    <row r="81">
      <c r="B81" s="37"/>
    </row>
    <row r="82">
      <c r="B82" s="37"/>
    </row>
    <row r="83">
      <c r="B83" s="37"/>
    </row>
    <row r="84">
      <c r="B84" s="37"/>
    </row>
    <row r="85">
      <c r="B85" s="37"/>
    </row>
    <row r="86">
      <c r="B86" s="37"/>
    </row>
    <row r="87">
      <c r="B87" s="37"/>
    </row>
    <row r="88">
      <c r="B88" s="37"/>
    </row>
    <row r="89">
      <c r="B89" s="37"/>
    </row>
    <row r="90">
      <c r="B90" s="37"/>
    </row>
    <row r="91">
      <c r="B91" s="37"/>
    </row>
    <row r="92">
      <c r="B92" s="37"/>
    </row>
    <row r="93">
      <c r="B93" s="37"/>
    </row>
    <row r="94">
      <c r="B94" s="37"/>
    </row>
    <row r="95">
      <c r="B95" s="37"/>
    </row>
    <row r="96">
      <c r="B96" s="37"/>
    </row>
    <row r="97">
      <c r="B97" s="37"/>
    </row>
    <row r="98">
      <c r="B98" s="37"/>
    </row>
    <row r="99">
      <c r="B99" s="37"/>
    </row>
    <row r="100">
      <c r="B100" s="37"/>
    </row>
    <row r="101">
      <c r="B101" s="37"/>
    </row>
    <row r="102">
      <c r="B102" s="37"/>
    </row>
    <row r="103">
      <c r="B103" s="37"/>
    </row>
    <row r="104">
      <c r="B104" s="37"/>
    </row>
    <row r="105">
      <c r="B105" s="37"/>
    </row>
    <row r="106">
      <c r="B106" s="37"/>
    </row>
    <row r="107">
      <c r="B107" s="37"/>
    </row>
    <row r="108">
      <c r="B108" s="37"/>
    </row>
    <row r="109">
      <c r="B109" s="37"/>
    </row>
    <row r="110">
      <c r="B110" s="37"/>
    </row>
    <row r="111">
      <c r="B111" s="37"/>
    </row>
    <row r="112">
      <c r="B112" s="37"/>
    </row>
    <row r="113">
      <c r="B113" s="37"/>
    </row>
    <row r="114">
      <c r="B114" s="37"/>
    </row>
    <row r="115">
      <c r="B115" s="37"/>
    </row>
    <row r="116">
      <c r="B116" s="37"/>
    </row>
    <row r="117">
      <c r="B117" s="37"/>
    </row>
    <row r="118">
      <c r="B118" s="37"/>
    </row>
    <row r="119">
      <c r="B119" s="37"/>
    </row>
    <row r="120">
      <c r="B120" s="37"/>
    </row>
    <row r="121">
      <c r="B121" s="37"/>
    </row>
    <row r="122">
      <c r="B122" s="37"/>
    </row>
    <row r="123">
      <c r="B123" s="37"/>
    </row>
    <row r="124">
      <c r="B124" s="37"/>
    </row>
    <row r="125">
      <c r="B125" s="37"/>
    </row>
    <row r="126">
      <c r="B126" s="37"/>
    </row>
    <row r="127">
      <c r="B127" s="37"/>
    </row>
    <row r="128">
      <c r="B128" s="37"/>
    </row>
    <row r="129">
      <c r="B129" s="37"/>
    </row>
    <row r="130">
      <c r="B130" s="37"/>
    </row>
    <row r="131">
      <c r="B131" s="37"/>
    </row>
    <row r="132">
      <c r="B132" s="37"/>
    </row>
    <row r="133">
      <c r="B133" s="37"/>
    </row>
    <row r="134">
      <c r="B134" s="37"/>
    </row>
    <row r="135">
      <c r="B135" s="37"/>
    </row>
    <row r="136">
      <c r="B136" s="37"/>
    </row>
    <row r="137">
      <c r="B137" s="37"/>
    </row>
    <row r="138">
      <c r="B138" s="37"/>
    </row>
    <row r="139">
      <c r="B139" s="37"/>
    </row>
    <row r="140">
      <c r="B140" s="37"/>
    </row>
    <row r="141">
      <c r="B141" s="37"/>
    </row>
    <row r="142">
      <c r="B142" s="37"/>
    </row>
    <row r="143">
      <c r="B143" s="37"/>
    </row>
    <row r="144">
      <c r="B144" s="37"/>
    </row>
    <row r="145">
      <c r="B145" s="37"/>
    </row>
    <row r="146">
      <c r="B146" s="37"/>
    </row>
    <row r="147">
      <c r="B147" s="37"/>
    </row>
    <row r="148">
      <c r="B148" s="37"/>
    </row>
    <row r="149">
      <c r="B149" s="37"/>
    </row>
    <row r="150">
      <c r="B150" s="37"/>
    </row>
    <row r="151">
      <c r="B151" s="37"/>
    </row>
    <row r="152">
      <c r="B152" s="37"/>
    </row>
    <row r="153">
      <c r="B153" s="37"/>
    </row>
    <row r="154">
      <c r="B154" s="37"/>
    </row>
    <row r="155">
      <c r="B155" s="37"/>
    </row>
    <row r="156">
      <c r="B156" s="37"/>
    </row>
    <row r="157">
      <c r="B157" s="37"/>
    </row>
    <row r="158">
      <c r="B158" s="37"/>
    </row>
    <row r="159">
      <c r="B159" s="37"/>
    </row>
    <row r="160">
      <c r="B160" s="37"/>
    </row>
    <row r="161">
      <c r="B161" s="37"/>
    </row>
    <row r="162">
      <c r="B162" s="37"/>
    </row>
    <row r="163">
      <c r="B163" s="37"/>
    </row>
    <row r="164">
      <c r="B164" s="37"/>
    </row>
    <row r="165">
      <c r="B165" s="37"/>
    </row>
    <row r="166">
      <c r="B166" s="37"/>
    </row>
    <row r="167">
      <c r="B167" s="37"/>
    </row>
    <row r="168">
      <c r="B168" s="37"/>
    </row>
    <row r="169">
      <c r="B169" s="37"/>
    </row>
    <row r="170">
      <c r="B170" s="37"/>
    </row>
    <row r="171">
      <c r="B171" s="37"/>
    </row>
    <row r="172">
      <c r="B172" s="37"/>
    </row>
    <row r="173">
      <c r="B173" s="37"/>
    </row>
    <row r="174">
      <c r="B174" s="37"/>
    </row>
    <row r="175">
      <c r="B175" s="37"/>
    </row>
    <row r="176">
      <c r="B176" s="37"/>
    </row>
    <row r="177">
      <c r="B177" s="37"/>
    </row>
    <row r="178">
      <c r="B178" s="37"/>
    </row>
    <row r="179">
      <c r="B179" s="37"/>
    </row>
    <row r="180">
      <c r="B180" s="37"/>
    </row>
    <row r="181">
      <c r="B181" s="37"/>
    </row>
    <row r="182">
      <c r="B182" s="37"/>
    </row>
    <row r="183">
      <c r="B183" s="37"/>
    </row>
    <row r="184">
      <c r="B184" s="37"/>
    </row>
    <row r="185">
      <c r="B185" s="37"/>
    </row>
    <row r="186">
      <c r="B186" s="37"/>
    </row>
    <row r="187">
      <c r="B187" s="37"/>
    </row>
    <row r="188">
      <c r="B188" s="37"/>
    </row>
    <row r="189">
      <c r="B189" s="37"/>
    </row>
    <row r="190">
      <c r="B190" s="37"/>
    </row>
    <row r="191">
      <c r="B191" s="37"/>
    </row>
    <row r="192">
      <c r="B192" s="37"/>
    </row>
    <row r="193">
      <c r="B193" s="37"/>
    </row>
    <row r="194">
      <c r="B194" s="37"/>
    </row>
    <row r="195">
      <c r="B195" s="37"/>
    </row>
    <row r="196">
      <c r="B196" s="37"/>
    </row>
    <row r="197">
      <c r="B197" s="37"/>
    </row>
    <row r="198">
      <c r="B198" s="37"/>
    </row>
    <row r="199">
      <c r="B199" s="37"/>
    </row>
    <row r="200">
      <c r="B200" s="37"/>
    </row>
    <row r="201">
      <c r="B201" s="37"/>
    </row>
    <row r="202">
      <c r="B202" s="37"/>
    </row>
    <row r="203">
      <c r="B203" s="37"/>
    </row>
    <row r="204">
      <c r="B204" s="37"/>
    </row>
    <row r="205">
      <c r="B205" s="37"/>
    </row>
    <row r="206">
      <c r="B206" s="37"/>
    </row>
    <row r="207">
      <c r="B207" s="37"/>
    </row>
    <row r="208">
      <c r="B208" s="37"/>
    </row>
    <row r="209">
      <c r="B209" s="37"/>
    </row>
    <row r="210">
      <c r="B210" s="37"/>
    </row>
    <row r="211">
      <c r="B211" s="37"/>
    </row>
    <row r="212">
      <c r="B212" s="37"/>
    </row>
    <row r="213">
      <c r="B213" s="37"/>
    </row>
    <row r="214">
      <c r="B214" s="37"/>
    </row>
    <row r="215">
      <c r="B215" s="37"/>
    </row>
    <row r="216">
      <c r="B216" s="37"/>
    </row>
    <row r="217">
      <c r="B217" s="37"/>
    </row>
    <row r="218">
      <c r="B218" s="37"/>
    </row>
    <row r="219">
      <c r="B219" s="37"/>
    </row>
    <row r="220">
      <c r="B220" s="37"/>
    </row>
    <row r="221">
      <c r="B221" s="37"/>
    </row>
    <row r="222">
      <c r="B222" s="37"/>
    </row>
    <row r="223">
      <c r="B223" s="37"/>
    </row>
    <row r="224">
      <c r="B224" s="37"/>
    </row>
    <row r="225">
      <c r="B225" s="37"/>
    </row>
    <row r="226">
      <c r="B226" s="37"/>
    </row>
    <row r="227">
      <c r="B227" s="37"/>
    </row>
    <row r="228">
      <c r="B228" s="37"/>
    </row>
    <row r="229">
      <c r="B229" s="37"/>
    </row>
    <row r="230">
      <c r="B230" s="37"/>
    </row>
    <row r="231">
      <c r="B231" s="37"/>
    </row>
    <row r="232">
      <c r="B232" s="37"/>
    </row>
    <row r="233">
      <c r="B233" s="37"/>
    </row>
    <row r="234">
      <c r="B234" s="37"/>
    </row>
    <row r="235">
      <c r="B235" s="37"/>
    </row>
    <row r="236">
      <c r="B236" s="37"/>
    </row>
    <row r="237">
      <c r="B237" s="37"/>
    </row>
    <row r="238">
      <c r="B238" s="37"/>
    </row>
    <row r="239">
      <c r="B239" s="37"/>
    </row>
    <row r="240">
      <c r="B240" s="37"/>
    </row>
    <row r="241">
      <c r="B241" s="37"/>
    </row>
    <row r="242">
      <c r="B242" s="37"/>
    </row>
    <row r="243">
      <c r="B243" s="37"/>
    </row>
    <row r="244">
      <c r="B244" s="37"/>
    </row>
    <row r="245">
      <c r="B245" s="37"/>
    </row>
    <row r="246">
      <c r="B246" s="37"/>
    </row>
    <row r="247">
      <c r="B247" s="37"/>
    </row>
    <row r="248">
      <c r="B248" s="37"/>
    </row>
    <row r="249">
      <c r="B249" s="37"/>
    </row>
    <row r="250">
      <c r="B250" s="37"/>
    </row>
    <row r="251">
      <c r="B251" s="37"/>
    </row>
    <row r="252">
      <c r="B252" s="37"/>
    </row>
    <row r="253">
      <c r="B253" s="37"/>
    </row>
    <row r="254">
      <c r="B254" s="37"/>
    </row>
    <row r="255">
      <c r="B255" s="37"/>
    </row>
    <row r="256">
      <c r="B256" s="37"/>
    </row>
    <row r="257">
      <c r="B257" s="37"/>
    </row>
    <row r="258">
      <c r="B258" s="37"/>
    </row>
    <row r="259">
      <c r="B259" s="37"/>
    </row>
    <row r="260">
      <c r="B260" s="37"/>
    </row>
    <row r="261">
      <c r="B261" s="37"/>
    </row>
    <row r="262">
      <c r="B262" s="37"/>
    </row>
    <row r="263">
      <c r="B263" s="37"/>
    </row>
    <row r="264">
      <c r="B264" s="37"/>
    </row>
    <row r="265">
      <c r="B265" s="37"/>
    </row>
    <row r="266">
      <c r="B266" s="37"/>
    </row>
    <row r="267">
      <c r="B267" s="37"/>
    </row>
    <row r="268">
      <c r="B268" s="37"/>
    </row>
    <row r="269">
      <c r="B269" s="37"/>
    </row>
    <row r="270">
      <c r="B270" s="37"/>
    </row>
    <row r="271">
      <c r="B271" s="37"/>
    </row>
    <row r="272">
      <c r="B272" s="37"/>
    </row>
    <row r="273">
      <c r="B273" s="37"/>
    </row>
    <row r="274">
      <c r="B274" s="37"/>
    </row>
    <row r="275">
      <c r="B275" s="37"/>
    </row>
    <row r="276">
      <c r="B276" s="37"/>
    </row>
    <row r="277">
      <c r="B277" s="37"/>
    </row>
    <row r="278">
      <c r="B278" s="37"/>
    </row>
    <row r="279">
      <c r="B279" s="37"/>
    </row>
    <row r="280">
      <c r="B280" s="37"/>
    </row>
    <row r="281">
      <c r="B281" s="37"/>
    </row>
    <row r="282">
      <c r="B282" s="37"/>
    </row>
    <row r="283">
      <c r="B283" s="37"/>
    </row>
    <row r="284">
      <c r="B284" s="37"/>
    </row>
    <row r="285">
      <c r="B285" s="37"/>
    </row>
    <row r="286">
      <c r="B286" s="37"/>
    </row>
    <row r="287">
      <c r="B287" s="37"/>
    </row>
    <row r="288">
      <c r="B288" s="37"/>
    </row>
    <row r="289">
      <c r="B289" s="37"/>
    </row>
    <row r="290">
      <c r="B290" s="37"/>
    </row>
    <row r="291">
      <c r="B291" s="37"/>
    </row>
    <row r="292">
      <c r="B292" s="37"/>
    </row>
    <row r="293">
      <c r="B293" s="37"/>
    </row>
    <row r="294">
      <c r="B294" s="37"/>
    </row>
    <row r="295">
      <c r="B295" s="37"/>
    </row>
    <row r="296">
      <c r="B296" s="37"/>
    </row>
    <row r="297">
      <c r="B297" s="37"/>
    </row>
    <row r="298">
      <c r="B298" s="37"/>
    </row>
    <row r="299">
      <c r="B299" s="37"/>
    </row>
    <row r="300">
      <c r="B300" s="37"/>
    </row>
    <row r="301">
      <c r="B301" s="37"/>
    </row>
    <row r="302">
      <c r="B302" s="37"/>
    </row>
    <row r="303">
      <c r="B303" s="37"/>
    </row>
    <row r="304">
      <c r="B304" s="37"/>
    </row>
    <row r="305">
      <c r="B305" s="37"/>
    </row>
    <row r="306">
      <c r="B306" s="37"/>
    </row>
    <row r="307">
      <c r="B307" s="37"/>
    </row>
    <row r="308">
      <c r="B308" s="37"/>
    </row>
    <row r="309">
      <c r="B309" s="37"/>
    </row>
    <row r="310">
      <c r="B310" s="37"/>
    </row>
    <row r="311">
      <c r="B311" s="37"/>
    </row>
    <row r="312">
      <c r="B312" s="37"/>
    </row>
    <row r="313">
      <c r="B313" s="37"/>
    </row>
    <row r="314">
      <c r="B314" s="37"/>
    </row>
    <row r="315">
      <c r="B315" s="37"/>
    </row>
    <row r="316">
      <c r="B316" s="37"/>
    </row>
    <row r="317">
      <c r="B317" s="37"/>
    </row>
    <row r="318">
      <c r="B318" s="37"/>
    </row>
    <row r="319">
      <c r="B319" s="37"/>
    </row>
    <row r="320">
      <c r="B320" s="37"/>
    </row>
    <row r="321">
      <c r="B321" s="37"/>
    </row>
    <row r="322">
      <c r="B322" s="37"/>
    </row>
    <row r="323">
      <c r="B323" s="37"/>
    </row>
    <row r="324">
      <c r="B324" s="37"/>
    </row>
    <row r="325">
      <c r="B325" s="37"/>
    </row>
    <row r="326">
      <c r="B326" s="37"/>
    </row>
    <row r="327">
      <c r="B327" s="37"/>
    </row>
    <row r="328">
      <c r="B328" s="37"/>
    </row>
    <row r="329">
      <c r="B329" s="37"/>
    </row>
    <row r="330">
      <c r="B330" s="37"/>
    </row>
    <row r="331">
      <c r="B331" s="37"/>
    </row>
    <row r="332">
      <c r="B332" s="37"/>
    </row>
    <row r="333">
      <c r="B333" s="37"/>
    </row>
    <row r="334">
      <c r="B334" s="37"/>
    </row>
    <row r="335">
      <c r="B335" s="37"/>
    </row>
    <row r="336">
      <c r="B336" s="37"/>
    </row>
    <row r="337">
      <c r="B337" s="37"/>
    </row>
    <row r="338">
      <c r="B338" s="37"/>
    </row>
    <row r="339">
      <c r="B339" s="37"/>
    </row>
    <row r="340">
      <c r="B340" s="37"/>
    </row>
    <row r="341">
      <c r="B341" s="37"/>
    </row>
    <row r="342">
      <c r="B342" s="37"/>
    </row>
    <row r="343">
      <c r="B343" s="37"/>
    </row>
    <row r="344">
      <c r="B344" s="37"/>
    </row>
    <row r="345">
      <c r="B345" s="37"/>
    </row>
    <row r="346">
      <c r="B346" s="37"/>
    </row>
    <row r="347">
      <c r="B347" s="37"/>
    </row>
    <row r="348">
      <c r="B348" s="37"/>
    </row>
    <row r="349">
      <c r="B349" s="37"/>
    </row>
    <row r="350">
      <c r="B350" s="37"/>
    </row>
    <row r="351">
      <c r="B351" s="37"/>
    </row>
    <row r="352">
      <c r="B352" s="37"/>
    </row>
    <row r="353">
      <c r="B353" s="37"/>
    </row>
    <row r="354">
      <c r="B354" s="37"/>
    </row>
    <row r="355">
      <c r="B355" s="37"/>
    </row>
    <row r="356">
      <c r="B356" s="37"/>
    </row>
    <row r="357">
      <c r="B357" s="37"/>
    </row>
    <row r="358">
      <c r="B358" s="37"/>
    </row>
    <row r="359">
      <c r="B359" s="37"/>
    </row>
    <row r="360">
      <c r="B360" s="37"/>
    </row>
    <row r="361">
      <c r="B361" s="37"/>
    </row>
    <row r="362">
      <c r="B362" s="37"/>
    </row>
    <row r="363">
      <c r="B363" s="37"/>
    </row>
    <row r="364">
      <c r="B364" s="37"/>
    </row>
    <row r="365">
      <c r="B365" s="37"/>
    </row>
    <row r="366">
      <c r="B366" s="37"/>
    </row>
    <row r="367">
      <c r="B367" s="37"/>
    </row>
    <row r="368">
      <c r="B368" s="37"/>
    </row>
    <row r="369">
      <c r="B369" s="37"/>
    </row>
    <row r="370">
      <c r="B370" s="37"/>
    </row>
    <row r="371">
      <c r="B371" s="37"/>
    </row>
    <row r="372">
      <c r="B372" s="37"/>
    </row>
    <row r="373">
      <c r="B373" s="37"/>
    </row>
    <row r="374">
      <c r="B374" s="37"/>
    </row>
    <row r="375">
      <c r="B375" s="37"/>
    </row>
    <row r="376">
      <c r="B376" s="37"/>
    </row>
    <row r="377">
      <c r="B377" s="37"/>
    </row>
    <row r="378">
      <c r="B378" s="37"/>
    </row>
    <row r="379">
      <c r="B379" s="37"/>
    </row>
    <row r="380">
      <c r="B380" s="37"/>
    </row>
    <row r="381">
      <c r="B381" s="37"/>
    </row>
    <row r="382">
      <c r="B382" s="37"/>
    </row>
    <row r="383">
      <c r="B383" s="37"/>
    </row>
    <row r="384">
      <c r="B384" s="37"/>
    </row>
    <row r="385">
      <c r="B385" s="37"/>
    </row>
    <row r="386">
      <c r="B386" s="37"/>
    </row>
    <row r="387">
      <c r="B387" s="37"/>
    </row>
    <row r="388">
      <c r="B388" s="37"/>
    </row>
    <row r="389">
      <c r="B389" s="37"/>
    </row>
    <row r="390">
      <c r="B390" s="37"/>
    </row>
    <row r="391">
      <c r="B391" s="37"/>
    </row>
    <row r="392">
      <c r="B392" s="37"/>
    </row>
    <row r="393">
      <c r="B393" s="37"/>
    </row>
    <row r="394">
      <c r="B394" s="37"/>
    </row>
    <row r="395">
      <c r="B395" s="37"/>
    </row>
    <row r="396">
      <c r="B396" s="37"/>
    </row>
    <row r="397">
      <c r="B397" s="37"/>
    </row>
    <row r="398">
      <c r="B398" s="37"/>
    </row>
    <row r="399">
      <c r="B399" s="37"/>
    </row>
    <row r="400">
      <c r="B400" s="37"/>
    </row>
    <row r="401">
      <c r="B401" s="37"/>
    </row>
    <row r="402">
      <c r="B402" s="37"/>
    </row>
    <row r="403">
      <c r="B403" s="37"/>
    </row>
    <row r="404">
      <c r="B404" s="37"/>
    </row>
    <row r="405">
      <c r="B405" s="37"/>
    </row>
    <row r="406">
      <c r="B406" s="37"/>
    </row>
    <row r="407">
      <c r="B407" s="37"/>
    </row>
    <row r="408">
      <c r="B408" s="37"/>
    </row>
    <row r="409">
      <c r="B409" s="37"/>
    </row>
    <row r="410">
      <c r="B410" s="37"/>
    </row>
    <row r="411">
      <c r="B411" s="37"/>
    </row>
    <row r="412">
      <c r="B412" s="37"/>
    </row>
    <row r="413">
      <c r="B413" s="37"/>
    </row>
    <row r="414">
      <c r="B414" s="37"/>
    </row>
    <row r="415">
      <c r="B415" s="37"/>
    </row>
    <row r="416">
      <c r="B416" s="37"/>
    </row>
    <row r="417">
      <c r="B417" s="37"/>
    </row>
    <row r="418">
      <c r="B418" s="37"/>
    </row>
    <row r="419">
      <c r="B419" s="37"/>
    </row>
    <row r="420">
      <c r="B420" s="37"/>
    </row>
    <row r="421">
      <c r="B421" s="37"/>
    </row>
    <row r="422">
      <c r="B422" s="37"/>
    </row>
    <row r="423">
      <c r="B423" s="37"/>
    </row>
    <row r="424">
      <c r="B424" s="37"/>
    </row>
    <row r="425">
      <c r="B425" s="37"/>
    </row>
    <row r="426">
      <c r="B426" s="37"/>
    </row>
    <row r="427">
      <c r="B427" s="37"/>
    </row>
    <row r="428">
      <c r="B428" s="37"/>
    </row>
    <row r="429">
      <c r="B429" s="37"/>
    </row>
    <row r="430">
      <c r="B430" s="37"/>
    </row>
    <row r="431">
      <c r="B431" s="37"/>
    </row>
    <row r="432">
      <c r="B432" s="37"/>
    </row>
    <row r="433">
      <c r="B433" s="37"/>
    </row>
    <row r="434">
      <c r="B434" s="37"/>
    </row>
    <row r="435">
      <c r="B435" s="37"/>
    </row>
    <row r="436">
      <c r="B436" s="37"/>
    </row>
    <row r="437">
      <c r="B437" s="37"/>
    </row>
    <row r="438">
      <c r="B438" s="37"/>
    </row>
    <row r="439">
      <c r="B439" s="37"/>
    </row>
    <row r="440">
      <c r="B440" s="37"/>
    </row>
    <row r="441">
      <c r="B441" s="37"/>
    </row>
    <row r="442">
      <c r="B442" s="37"/>
    </row>
    <row r="443">
      <c r="B443" s="37"/>
    </row>
    <row r="444">
      <c r="B444" s="37"/>
    </row>
    <row r="445">
      <c r="B445" s="37"/>
    </row>
    <row r="446">
      <c r="B446" s="37"/>
    </row>
    <row r="447">
      <c r="B447" s="37"/>
    </row>
    <row r="448">
      <c r="B448" s="37"/>
    </row>
    <row r="449">
      <c r="B449" s="37"/>
    </row>
    <row r="450">
      <c r="B450" s="37"/>
    </row>
    <row r="451">
      <c r="B451" s="37"/>
    </row>
    <row r="452">
      <c r="B452" s="37"/>
    </row>
    <row r="453">
      <c r="B453" s="37"/>
    </row>
    <row r="454">
      <c r="B454" s="37"/>
    </row>
    <row r="455">
      <c r="B455" s="37"/>
    </row>
    <row r="456">
      <c r="B456" s="37"/>
    </row>
    <row r="457">
      <c r="B457" s="37"/>
    </row>
    <row r="458">
      <c r="B458" s="37"/>
    </row>
    <row r="459">
      <c r="B459" s="37"/>
    </row>
    <row r="460">
      <c r="B460" s="37"/>
    </row>
    <row r="461">
      <c r="B461" s="37"/>
    </row>
    <row r="462">
      <c r="B462" s="37"/>
    </row>
    <row r="463">
      <c r="B463" s="37"/>
    </row>
    <row r="464">
      <c r="B464" s="37"/>
    </row>
    <row r="465">
      <c r="B465" s="37"/>
    </row>
    <row r="466">
      <c r="B466" s="37"/>
    </row>
    <row r="467">
      <c r="B467" s="37"/>
    </row>
    <row r="468">
      <c r="B468" s="37"/>
    </row>
    <row r="469">
      <c r="B469" s="37"/>
    </row>
    <row r="470">
      <c r="B470" s="37"/>
    </row>
    <row r="471">
      <c r="B471" s="37"/>
    </row>
    <row r="472">
      <c r="B472" s="37"/>
    </row>
    <row r="473">
      <c r="B473" s="37"/>
    </row>
    <row r="474">
      <c r="B474" s="37"/>
    </row>
    <row r="475">
      <c r="B475" s="37"/>
    </row>
    <row r="476">
      <c r="B476" s="37"/>
    </row>
    <row r="477">
      <c r="B477" s="37"/>
    </row>
    <row r="478">
      <c r="B478" s="37"/>
    </row>
    <row r="479">
      <c r="B479" s="37"/>
    </row>
    <row r="480">
      <c r="B480" s="37"/>
    </row>
    <row r="481">
      <c r="B481" s="37"/>
    </row>
    <row r="482">
      <c r="B482" s="37"/>
    </row>
    <row r="483">
      <c r="B483" s="37"/>
    </row>
    <row r="484">
      <c r="B484" s="37"/>
    </row>
    <row r="485">
      <c r="B485" s="37"/>
    </row>
    <row r="486">
      <c r="B486" s="37"/>
    </row>
    <row r="487">
      <c r="B487" s="37"/>
    </row>
    <row r="488">
      <c r="B488" s="37"/>
    </row>
    <row r="489">
      <c r="B489" s="37"/>
    </row>
    <row r="490">
      <c r="B490" s="37"/>
    </row>
    <row r="491">
      <c r="B491" s="37"/>
    </row>
    <row r="492">
      <c r="B492" s="37"/>
    </row>
    <row r="493">
      <c r="B493" s="37"/>
    </row>
    <row r="494">
      <c r="B494" s="37"/>
    </row>
    <row r="495">
      <c r="B495" s="37"/>
    </row>
    <row r="496">
      <c r="B496" s="37"/>
    </row>
    <row r="497">
      <c r="B497" s="37"/>
    </row>
    <row r="498">
      <c r="B498" s="37"/>
    </row>
    <row r="499">
      <c r="B499" s="37"/>
    </row>
    <row r="500">
      <c r="B500" s="37"/>
    </row>
    <row r="501">
      <c r="B501" s="37"/>
    </row>
    <row r="502">
      <c r="B502" s="37"/>
    </row>
    <row r="503">
      <c r="B503" s="37"/>
    </row>
    <row r="504">
      <c r="B504" s="37"/>
    </row>
    <row r="505">
      <c r="B505" s="37"/>
    </row>
    <row r="506">
      <c r="B506" s="37"/>
    </row>
    <row r="507">
      <c r="B507" s="37"/>
    </row>
    <row r="508">
      <c r="B508" s="37"/>
    </row>
    <row r="509">
      <c r="B509" s="37"/>
    </row>
    <row r="510">
      <c r="B510" s="37"/>
    </row>
    <row r="511">
      <c r="B511" s="37"/>
    </row>
    <row r="512">
      <c r="B512" s="37"/>
    </row>
    <row r="513">
      <c r="B513" s="37"/>
    </row>
    <row r="514">
      <c r="B514" s="37"/>
    </row>
    <row r="515">
      <c r="B515" s="37"/>
    </row>
    <row r="516">
      <c r="B516" s="37"/>
    </row>
    <row r="517">
      <c r="B517" s="37"/>
    </row>
    <row r="518">
      <c r="B518" s="37"/>
    </row>
    <row r="519">
      <c r="B519" s="37"/>
    </row>
    <row r="520">
      <c r="B520" s="37"/>
    </row>
    <row r="521">
      <c r="B521" s="37"/>
    </row>
    <row r="522">
      <c r="B522" s="37"/>
    </row>
    <row r="523">
      <c r="B523" s="37"/>
    </row>
    <row r="524">
      <c r="B524" s="37"/>
    </row>
    <row r="525">
      <c r="B525" s="37"/>
    </row>
    <row r="526">
      <c r="B526" s="37"/>
    </row>
    <row r="527">
      <c r="B527" s="37"/>
    </row>
    <row r="528">
      <c r="B528" s="37"/>
    </row>
    <row r="529">
      <c r="B529" s="37"/>
    </row>
    <row r="530">
      <c r="B530" s="37"/>
    </row>
    <row r="531">
      <c r="B531" s="37"/>
    </row>
    <row r="532">
      <c r="B532" s="37"/>
    </row>
    <row r="533">
      <c r="B533" s="37"/>
    </row>
    <row r="534">
      <c r="B534" s="37"/>
    </row>
    <row r="535">
      <c r="B535" s="37"/>
    </row>
    <row r="536">
      <c r="B536" s="37"/>
    </row>
    <row r="537">
      <c r="B537" s="37"/>
    </row>
    <row r="538">
      <c r="B538" s="37"/>
    </row>
    <row r="539">
      <c r="B539" s="37"/>
    </row>
    <row r="540">
      <c r="B540" s="37"/>
    </row>
    <row r="541">
      <c r="B541" s="37"/>
    </row>
    <row r="542">
      <c r="B542" s="37"/>
    </row>
    <row r="543">
      <c r="B543" s="37"/>
    </row>
    <row r="544">
      <c r="B544" s="37"/>
    </row>
    <row r="545">
      <c r="B545" s="37"/>
    </row>
    <row r="546">
      <c r="B546" s="37"/>
    </row>
    <row r="547">
      <c r="B547" s="37"/>
    </row>
    <row r="548">
      <c r="B548" s="37"/>
    </row>
    <row r="549">
      <c r="B549" s="37"/>
    </row>
    <row r="550">
      <c r="B550" s="37"/>
    </row>
    <row r="551">
      <c r="B551" s="37"/>
    </row>
    <row r="552">
      <c r="B552" s="37"/>
    </row>
    <row r="553">
      <c r="B553" s="37"/>
    </row>
    <row r="554">
      <c r="B554" s="37"/>
    </row>
    <row r="555">
      <c r="B555" s="37"/>
    </row>
    <row r="556">
      <c r="B556" s="37"/>
    </row>
    <row r="557">
      <c r="B557" s="37"/>
    </row>
    <row r="558">
      <c r="B558" s="37"/>
    </row>
    <row r="559">
      <c r="B559" s="37"/>
    </row>
    <row r="560">
      <c r="B560" s="37"/>
    </row>
    <row r="561">
      <c r="B561" s="37"/>
    </row>
    <row r="562">
      <c r="B562" s="37"/>
    </row>
    <row r="563">
      <c r="B563" s="37"/>
    </row>
    <row r="564">
      <c r="B564" s="37"/>
    </row>
    <row r="565">
      <c r="B565" s="37"/>
    </row>
    <row r="566">
      <c r="B566" s="37"/>
    </row>
    <row r="567">
      <c r="B567" s="37"/>
    </row>
    <row r="568">
      <c r="B568" s="37"/>
    </row>
    <row r="569">
      <c r="B569" s="37"/>
    </row>
    <row r="570">
      <c r="B570" s="37"/>
    </row>
    <row r="571">
      <c r="B571" s="37"/>
    </row>
    <row r="572">
      <c r="B572" s="37"/>
    </row>
    <row r="573">
      <c r="B573" s="37"/>
    </row>
    <row r="574">
      <c r="B574" s="37"/>
    </row>
    <row r="575">
      <c r="B575" s="37"/>
    </row>
    <row r="576">
      <c r="B576" s="37"/>
    </row>
    <row r="577">
      <c r="B577" s="37"/>
    </row>
    <row r="578">
      <c r="B578" s="37"/>
    </row>
    <row r="579">
      <c r="B579" s="37"/>
    </row>
    <row r="580">
      <c r="B580" s="37"/>
    </row>
    <row r="581">
      <c r="B581" s="37"/>
    </row>
    <row r="582">
      <c r="B582" s="37"/>
    </row>
    <row r="583">
      <c r="B583" s="37"/>
    </row>
    <row r="584">
      <c r="B584" s="37"/>
    </row>
    <row r="585">
      <c r="B585" s="37"/>
    </row>
    <row r="586">
      <c r="B586" s="37"/>
    </row>
    <row r="587">
      <c r="B587" s="37"/>
    </row>
    <row r="588">
      <c r="B588" s="37"/>
    </row>
    <row r="589">
      <c r="B589" s="37"/>
    </row>
    <row r="590">
      <c r="B590" s="37"/>
    </row>
    <row r="591">
      <c r="B591" s="37"/>
    </row>
    <row r="592">
      <c r="B592" s="37"/>
    </row>
    <row r="593">
      <c r="B593" s="37"/>
    </row>
    <row r="594">
      <c r="B594" s="37"/>
    </row>
    <row r="595">
      <c r="B595" s="37"/>
    </row>
    <row r="596">
      <c r="B596" s="37"/>
    </row>
    <row r="597">
      <c r="B597" s="37"/>
    </row>
    <row r="598">
      <c r="B598" s="37"/>
    </row>
    <row r="599">
      <c r="B599" s="37"/>
    </row>
    <row r="600">
      <c r="B600" s="37"/>
    </row>
    <row r="601">
      <c r="B601" s="37"/>
    </row>
    <row r="602">
      <c r="B602" s="37"/>
    </row>
    <row r="603">
      <c r="B603" s="37"/>
    </row>
    <row r="604">
      <c r="B604" s="37"/>
    </row>
    <row r="605">
      <c r="B605" s="37"/>
    </row>
    <row r="606">
      <c r="B606" s="37"/>
    </row>
    <row r="607">
      <c r="B607" s="37"/>
    </row>
    <row r="608">
      <c r="B608" s="37"/>
    </row>
    <row r="609">
      <c r="B609" s="37"/>
    </row>
    <row r="610">
      <c r="B610" s="37"/>
    </row>
    <row r="611">
      <c r="B611" s="37"/>
    </row>
    <row r="612">
      <c r="B612" s="37"/>
    </row>
    <row r="613">
      <c r="B613" s="37"/>
    </row>
    <row r="614">
      <c r="B614" s="37"/>
    </row>
    <row r="615">
      <c r="B615" s="37"/>
    </row>
    <row r="616">
      <c r="B616" s="37"/>
    </row>
    <row r="617">
      <c r="B617" s="37"/>
    </row>
    <row r="618">
      <c r="B618" s="37"/>
    </row>
    <row r="619">
      <c r="B619" s="37"/>
    </row>
    <row r="620">
      <c r="B620" s="37"/>
    </row>
    <row r="621">
      <c r="B621" s="37"/>
    </row>
    <row r="622">
      <c r="B622" s="37"/>
    </row>
    <row r="623">
      <c r="B623" s="37"/>
    </row>
    <row r="624">
      <c r="B624" s="37"/>
    </row>
    <row r="625">
      <c r="B625" s="37"/>
    </row>
    <row r="626">
      <c r="B626" s="37"/>
    </row>
    <row r="627">
      <c r="B627" s="37"/>
    </row>
    <row r="628">
      <c r="B628" s="37"/>
    </row>
    <row r="629">
      <c r="B629" s="37"/>
    </row>
    <row r="630">
      <c r="B630" s="37"/>
    </row>
    <row r="631">
      <c r="B631" s="37"/>
    </row>
    <row r="632">
      <c r="B632" s="37"/>
    </row>
    <row r="633">
      <c r="B633" s="37"/>
    </row>
    <row r="634">
      <c r="B634" s="37"/>
    </row>
    <row r="635">
      <c r="B635" s="37"/>
    </row>
    <row r="636">
      <c r="B636" s="37"/>
    </row>
    <row r="637">
      <c r="B637" s="37"/>
    </row>
    <row r="638">
      <c r="B638" s="37"/>
    </row>
    <row r="639">
      <c r="B639" s="37"/>
    </row>
    <row r="640">
      <c r="B640" s="37"/>
    </row>
    <row r="641">
      <c r="B641" s="37"/>
    </row>
    <row r="642">
      <c r="B642" s="37"/>
    </row>
    <row r="643">
      <c r="B643" s="37"/>
    </row>
    <row r="644">
      <c r="B644" s="37"/>
    </row>
    <row r="645">
      <c r="B645" s="37"/>
    </row>
    <row r="646">
      <c r="B646" s="37"/>
    </row>
    <row r="647">
      <c r="B647" s="37"/>
    </row>
    <row r="648">
      <c r="B648" s="37"/>
    </row>
    <row r="649">
      <c r="B649" s="37"/>
    </row>
    <row r="650">
      <c r="B650" s="37"/>
    </row>
    <row r="651">
      <c r="B651" s="37"/>
    </row>
    <row r="652">
      <c r="B652" s="37"/>
    </row>
    <row r="653">
      <c r="B653" s="37"/>
    </row>
    <row r="654">
      <c r="B654" s="37"/>
    </row>
    <row r="655">
      <c r="B655" s="37"/>
    </row>
    <row r="656">
      <c r="B656" s="37"/>
    </row>
    <row r="657">
      <c r="B657" s="37"/>
    </row>
    <row r="658">
      <c r="B658" s="37"/>
    </row>
    <row r="659">
      <c r="B659" s="37"/>
    </row>
    <row r="660">
      <c r="B660" s="37"/>
    </row>
    <row r="661">
      <c r="B661" s="37"/>
    </row>
    <row r="662">
      <c r="B662" s="37"/>
    </row>
    <row r="663">
      <c r="B663" s="37"/>
    </row>
    <row r="664">
      <c r="B664" s="37"/>
    </row>
    <row r="665">
      <c r="B665" s="37"/>
    </row>
    <row r="666">
      <c r="B666" s="37"/>
    </row>
    <row r="667">
      <c r="B667" s="37"/>
    </row>
    <row r="668">
      <c r="B668" s="37"/>
    </row>
    <row r="669">
      <c r="B669" s="37"/>
    </row>
    <row r="670">
      <c r="B670" s="37"/>
    </row>
    <row r="671">
      <c r="B671" s="37"/>
    </row>
    <row r="672">
      <c r="B672" s="37"/>
    </row>
    <row r="673">
      <c r="B673" s="37"/>
    </row>
    <row r="674">
      <c r="B674" s="37"/>
    </row>
    <row r="675">
      <c r="B675" s="37"/>
    </row>
    <row r="676">
      <c r="B676" s="37"/>
    </row>
    <row r="677">
      <c r="B677" s="37"/>
    </row>
    <row r="678">
      <c r="B678" s="37"/>
    </row>
    <row r="679">
      <c r="B679" s="37"/>
    </row>
    <row r="680">
      <c r="B680" s="37"/>
    </row>
    <row r="681">
      <c r="B681" s="37"/>
    </row>
    <row r="682">
      <c r="B682" s="37"/>
    </row>
    <row r="683">
      <c r="B683" s="37"/>
    </row>
    <row r="684">
      <c r="B684" s="37"/>
    </row>
    <row r="685">
      <c r="B685" s="37"/>
    </row>
    <row r="686">
      <c r="B686" s="37"/>
    </row>
    <row r="687">
      <c r="B687" s="37"/>
    </row>
    <row r="688">
      <c r="B688" s="37"/>
    </row>
    <row r="689">
      <c r="B689" s="37"/>
    </row>
    <row r="690">
      <c r="B690" s="37"/>
    </row>
    <row r="691">
      <c r="B691" s="37"/>
    </row>
    <row r="692">
      <c r="B692" s="37"/>
    </row>
    <row r="693">
      <c r="B693" s="37"/>
    </row>
    <row r="694">
      <c r="B694" s="37"/>
    </row>
    <row r="695">
      <c r="B695" s="37"/>
    </row>
    <row r="696">
      <c r="B696" s="37"/>
    </row>
    <row r="697">
      <c r="B697" s="37"/>
    </row>
    <row r="698">
      <c r="B698" s="37"/>
    </row>
    <row r="699">
      <c r="B699" s="37"/>
    </row>
    <row r="700">
      <c r="B700" s="37"/>
    </row>
    <row r="701">
      <c r="B701" s="37"/>
    </row>
    <row r="702">
      <c r="B702" s="37"/>
    </row>
    <row r="703">
      <c r="B703" s="37"/>
    </row>
    <row r="704">
      <c r="B704" s="37"/>
    </row>
    <row r="705">
      <c r="B705" s="37"/>
    </row>
    <row r="706">
      <c r="B706" s="37"/>
    </row>
    <row r="707">
      <c r="B707" s="37"/>
    </row>
    <row r="708">
      <c r="B708" s="37"/>
    </row>
    <row r="709">
      <c r="B709" s="37"/>
    </row>
    <row r="710">
      <c r="B710" s="37"/>
    </row>
    <row r="711">
      <c r="B711" s="37"/>
    </row>
    <row r="712">
      <c r="B712" s="37"/>
    </row>
    <row r="713">
      <c r="B713" s="37"/>
    </row>
    <row r="714">
      <c r="B714" s="37"/>
    </row>
    <row r="715">
      <c r="B715" s="37"/>
    </row>
    <row r="716">
      <c r="B716" s="37"/>
    </row>
    <row r="717">
      <c r="B717" s="37"/>
    </row>
    <row r="718">
      <c r="B718" s="37"/>
    </row>
    <row r="719">
      <c r="B719" s="37"/>
    </row>
    <row r="720">
      <c r="B720" s="37"/>
    </row>
    <row r="721">
      <c r="B721" s="37"/>
    </row>
    <row r="722">
      <c r="B722" s="37"/>
    </row>
    <row r="723">
      <c r="B723" s="37"/>
    </row>
    <row r="724">
      <c r="B724" s="37"/>
    </row>
    <row r="725">
      <c r="B725" s="37"/>
    </row>
    <row r="726">
      <c r="B726" s="37"/>
    </row>
    <row r="727">
      <c r="B727" s="37"/>
    </row>
    <row r="728">
      <c r="B728" s="37"/>
    </row>
    <row r="729">
      <c r="B729" s="37"/>
    </row>
    <row r="730">
      <c r="B730" s="37"/>
    </row>
    <row r="731">
      <c r="B731" s="37"/>
    </row>
    <row r="732">
      <c r="B732" s="37"/>
    </row>
    <row r="733">
      <c r="B733" s="37"/>
    </row>
    <row r="734">
      <c r="B734" s="37"/>
    </row>
    <row r="735">
      <c r="B735" s="37"/>
    </row>
    <row r="736">
      <c r="B736" s="37"/>
    </row>
    <row r="737">
      <c r="B737" s="37"/>
    </row>
    <row r="738">
      <c r="B738" s="37"/>
    </row>
    <row r="739">
      <c r="B739" s="37"/>
    </row>
    <row r="740">
      <c r="B740" s="37"/>
    </row>
    <row r="741">
      <c r="B741" s="37"/>
    </row>
    <row r="742">
      <c r="B742" s="37"/>
    </row>
    <row r="743">
      <c r="B743" s="37"/>
    </row>
    <row r="744">
      <c r="B744" s="37"/>
    </row>
    <row r="745">
      <c r="B745" s="37"/>
    </row>
    <row r="746">
      <c r="B746" s="37"/>
    </row>
    <row r="747">
      <c r="B747" s="37"/>
    </row>
    <row r="748">
      <c r="B748" s="37"/>
    </row>
    <row r="749">
      <c r="B749" s="37"/>
    </row>
    <row r="750">
      <c r="B750" s="37"/>
    </row>
    <row r="751">
      <c r="B751" s="37"/>
    </row>
    <row r="752">
      <c r="B752" s="37"/>
    </row>
    <row r="753">
      <c r="B753" s="37"/>
    </row>
    <row r="754">
      <c r="B754" s="37"/>
    </row>
    <row r="755">
      <c r="B755" s="37"/>
    </row>
    <row r="756">
      <c r="B756" s="37"/>
    </row>
    <row r="757">
      <c r="B757" s="37"/>
    </row>
    <row r="758">
      <c r="B758" s="37"/>
    </row>
    <row r="759">
      <c r="B759" s="37"/>
    </row>
    <row r="760">
      <c r="B760" s="37"/>
    </row>
    <row r="761">
      <c r="B761" s="37"/>
    </row>
    <row r="762">
      <c r="B762" s="37"/>
    </row>
    <row r="763">
      <c r="B763" s="37"/>
    </row>
    <row r="764">
      <c r="B764" s="37"/>
    </row>
    <row r="765">
      <c r="B765" s="37"/>
    </row>
    <row r="766">
      <c r="B766" s="37"/>
    </row>
    <row r="767">
      <c r="B767" s="37"/>
    </row>
    <row r="768">
      <c r="B768" s="37"/>
    </row>
    <row r="769">
      <c r="B769" s="37"/>
    </row>
    <row r="770">
      <c r="B770" s="37"/>
    </row>
    <row r="771">
      <c r="B771" s="37"/>
    </row>
    <row r="772">
      <c r="B772" s="37"/>
    </row>
    <row r="773">
      <c r="B773" s="37"/>
    </row>
    <row r="774">
      <c r="B774" s="37"/>
    </row>
    <row r="775">
      <c r="B775" s="37"/>
    </row>
    <row r="776">
      <c r="B776" s="37"/>
    </row>
    <row r="777">
      <c r="B777" s="37"/>
    </row>
    <row r="778">
      <c r="B778" s="37"/>
    </row>
    <row r="779">
      <c r="B779" s="37"/>
    </row>
    <row r="780">
      <c r="B780" s="37"/>
    </row>
    <row r="781">
      <c r="B781" s="37"/>
    </row>
    <row r="782">
      <c r="B782" s="37"/>
    </row>
    <row r="783">
      <c r="B783" s="37"/>
    </row>
    <row r="784">
      <c r="B784" s="37"/>
    </row>
    <row r="785">
      <c r="B785" s="37"/>
    </row>
    <row r="786">
      <c r="B786" s="37"/>
    </row>
    <row r="787">
      <c r="B787" s="37"/>
    </row>
    <row r="788">
      <c r="B788" s="37"/>
    </row>
    <row r="789">
      <c r="B789" s="37"/>
    </row>
    <row r="790">
      <c r="B790" s="37"/>
    </row>
    <row r="791">
      <c r="B791" s="37"/>
    </row>
    <row r="792">
      <c r="B792" s="37"/>
    </row>
    <row r="793">
      <c r="B793" s="37"/>
    </row>
    <row r="794">
      <c r="B794" s="37"/>
    </row>
    <row r="795">
      <c r="B795" s="37"/>
    </row>
    <row r="796">
      <c r="B796" s="37"/>
    </row>
    <row r="797">
      <c r="B797" s="37"/>
    </row>
    <row r="798">
      <c r="B798" s="37"/>
    </row>
    <row r="799">
      <c r="B799" s="37"/>
    </row>
    <row r="800">
      <c r="B800" s="37"/>
    </row>
    <row r="801">
      <c r="B801" s="37"/>
    </row>
    <row r="802">
      <c r="B802" s="37"/>
    </row>
    <row r="803">
      <c r="B803" s="37"/>
    </row>
    <row r="804">
      <c r="B804" s="37"/>
    </row>
    <row r="805">
      <c r="B805" s="37"/>
    </row>
    <row r="806">
      <c r="B806" s="37"/>
    </row>
    <row r="807">
      <c r="B807" s="37"/>
    </row>
    <row r="808">
      <c r="B808" s="37"/>
    </row>
    <row r="809">
      <c r="B809" s="37"/>
    </row>
    <row r="810">
      <c r="B810" s="37"/>
    </row>
    <row r="811">
      <c r="B811" s="37"/>
    </row>
    <row r="812">
      <c r="B812" s="37"/>
    </row>
    <row r="813">
      <c r="B813" s="37"/>
    </row>
    <row r="814">
      <c r="B814" s="37"/>
    </row>
    <row r="815">
      <c r="B815" s="37"/>
    </row>
    <row r="816">
      <c r="B816" s="37"/>
    </row>
    <row r="817">
      <c r="B817" s="37"/>
    </row>
    <row r="818">
      <c r="B818" s="37"/>
    </row>
    <row r="819">
      <c r="B819" s="37"/>
    </row>
    <row r="820">
      <c r="B820" s="37"/>
    </row>
    <row r="821">
      <c r="B821" s="37"/>
    </row>
    <row r="822">
      <c r="B822" s="37"/>
    </row>
    <row r="823">
      <c r="B823" s="37"/>
    </row>
    <row r="824">
      <c r="B824" s="37"/>
    </row>
    <row r="825">
      <c r="B825" s="37"/>
    </row>
    <row r="826">
      <c r="B826" s="37"/>
    </row>
    <row r="827">
      <c r="B827" s="37"/>
    </row>
    <row r="828">
      <c r="B828" s="37"/>
    </row>
    <row r="829">
      <c r="B829" s="37"/>
    </row>
    <row r="830">
      <c r="B830" s="37"/>
    </row>
    <row r="831">
      <c r="B831" s="37"/>
    </row>
    <row r="832">
      <c r="B832" s="37"/>
    </row>
    <row r="833">
      <c r="B833" s="37"/>
    </row>
    <row r="834">
      <c r="B834" s="37"/>
    </row>
    <row r="835">
      <c r="B835" s="37"/>
    </row>
    <row r="836">
      <c r="B836" s="37"/>
    </row>
    <row r="837">
      <c r="B837" s="37"/>
    </row>
    <row r="838">
      <c r="B838" s="37"/>
    </row>
    <row r="839">
      <c r="B839" s="37"/>
    </row>
    <row r="840">
      <c r="B840" s="37"/>
    </row>
    <row r="841">
      <c r="B841" s="37"/>
    </row>
    <row r="842">
      <c r="B842" s="37"/>
    </row>
    <row r="843">
      <c r="B843" s="37"/>
    </row>
    <row r="844">
      <c r="B844" s="37"/>
    </row>
    <row r="845">
      <c r="B845" s="37"/>
    </row>
    <row r="846">
      <c r="B846" s="37"/>
    </row>
    <row r="847">
      <c r="B847" s="37"/>
    </row>
    <row r="848">
      <c r="B848" s="37"/>
    </row>
    <row r="849">
      <c r="B849" s="37"/>
    </row>
    <row r="850">
      <c r="B850" s="37"/>
    </row>
    <row r="851">
      <c r="B851" s="37"/>
    </row>
    <row r="852">
      <c r="B852" s="37"/>
    </row>
    <row r="853">
      <c r="B853" s="37"/>
    </row>
    <row r="854">
      <c r="B854" s="37"/>
    </row>
    <row r="855">
      <c r="B855" s="37"/>
    </row>
    <row r="856">
      <c r="B856" s="37"/>
    </row>
    <row r="857">
      <c r="B857" s="37"/>
    </row>
    <row r="858">
      <c r="B858" s="37"/>
    </row>
    <row r="859">
      <c r="B859" s="37"/>
    </row>
    <row r="860">
      <c r="B860" s="37"/>
    </row>
    <row r="861">
      <c r="B861" s="37"/>
    </row>
    <row r="862">
      <c r="B862" s="37"/>
    </row>
    <row r="863">
      <c r="B863" s="37"/>
    </row>
    <row r="864">
      <c r="B864" s="37"/>
    </row>
    <row r="865">
      <c r="B865" s="37"/>
    </row>
    <row r="866">
      <c r="B866" s="37"/>
    </row>
    <row r="867">
      <c r="B867" s="37"/>
    </row>
    <row r="868">
      <c r="B868" s="37"/>
    </row>
    <row r="869">
      <c r="B869" s="37"/>
    </row>
    <row r="870">
      <c r="B870" s="37"/>
    </row>
    <row r="871">
      <c r="B871" s="37"/>
    </row>
    <row r="872">
      <c r="B872" s="37"/>
    </row>
    <row r="873">
      <c r="B873" s="37"/>
    </row>
    <row r="874">
      <c r="B874" s="37"/>
    </row>
    <row r="875">
      <c r="B875" s="37"/>
    </row>
    <row r="876">
      <c r="B876" s="37"/>
    </row>
    <row r="877">
      <c r="B877" s="37"/>
    </row>
    <row r="878">
      <c r="B878" s="37"/>
    </row>
    <row r="879">
      <c r="B879" s="37"/>
    </row>
    <row r="880">
      <c r="B880" s="37"/>
    </row>
    <row r="881">
      <c r="B881" s="37"/>
    </row>
    <row r="882">
      <c r="B882" s="37"/>
    </row>
    <row r="883">
      <c r="B883" s="37"/>
    </row>
    <row r="884">
      <c r="B884" s="37"/>
    </row>
    <row r="885">
      <c r="B885" s="37"/>
    </row>
    <row r="886">
      <c r="B886" s="37"/>
    </row>
    <row r="887">
      <c r="B887" s="37"/>
    </row>
    <row r="888">
      <c r="B888" s="37"/>
    </row>
    <row r="889">
      <c r="B889" s="37"/>
    </row>
    <row r="890">
      <c r="B890" s="37"/>
    </row>
    <row r="891">
      <c r="B891" s="37"/>
    </row>
    <row r="892">
      <c r="B892" s="37"/>
    </row>
    <row r="893">
      <c r="B893" s="37"/>
    </row>
    <row r="894">
      <c r="B894" s="37"/>
    </row>
    <row r="895">
      <c r="B895" s="37"/>
    </row>
    <row r="896">
      <c r="B896" s="37"/>
    </row>
    <row r="897">
      <c r="B897" s="37"/>
    </row>
    <row r="898">
      <c r="B898" s="37"/>
    </row>
    <row r="899">
      <c r="B899" s="37"/>
    </row>
    <row r="900">
      <c r="B900" s="37"/>
    </row>
    <row r="901">
      <c r="B901" s="37"/>
    </row>
    <row r="902">
      <c r="B902" s="37"/>
    </row>
    <row r="903">
      <c r="B903" s="37"/>
    </row>
    <row r="904">
      <c r="B904" s="37"/>
    </row>
    <row r="905">
      <c r="B905" s="37"/>
    </row>
    <row r="906">
      <c r="B906" s="37"/>
    </row>
    <row r="907">
      <c r="B907" s="37"/>
    </row>
    <row r="908">
      <c r="B908" s="37"/>
    </row>
    <row r="909">
      <c r="B909" s="37"/>
    </row>
    <row r="910">
      <c r="B910" s="37"/>
    </row>
    <row r="911">
      <c r="B911" s="37"/>
    </row>
    <row r="912">
      <c r="B912" s="37"/>
    </row>
    <row r="913">
      <c r="B913" s="37"/>
    </row>
    <row r="914">
      <c r="B914" s="37"/>
    </row>
    <row r="915">
      <c r="B915" s="37"/>
    </row>
    <row r="916">
      <c r="B916" s="37"/>
    </row>
    <row r="917">
      <c r="B917" s="37"/>
    </row>
    <row r="918">
      <c r="B918" s="37"/>
    </row>
    <row r="919">
      <c r="B919" s="37"/>
    </row>
    <row r="920">
      <c r="B920" s="37"/>
    </row>
    <row r="921">
      <c r="B921" s="37"/>
    </row>
    <row r="922">
      <c r="B922" s="37"/>
    </row>
    <row r="923">
      <c r="B923" s="37"/>
    </row>
    <row r="924">
      <c r="B924" s="37"/>
    </row>
    <row r="925">
      <c r="B925" s="37"/>
    </row>
    <row r="926">
      <c r="B926" s="37"/>
    </row>
    <row r="927">
      <c r="B927" s="37"/>
    </row>
    <row r="928">
      <c r="B928" s="37"/>
    </row>
    <row r="929">
      <c r="B929" s="37"/>
    </row>
    <row r="930">
      <c r="B930" s="37"/>
    </row>
    <row r="931">
      <c r="B931" s="37"/>
    </row>
    <row r="932">
      <c r="B932" s="37"/>
    </row>
    <row r="933">
      <c r="B933" s="37"/>
    </row>
    <row r="934">
      <c r="B934" s="37"/>
    </row>
    <row r="935">
      <c r="B935" s="37"/>
    </row>
    <row r="936">
      <c r="B936" s="37"/>
    </row>
    <row r="937">
      <c r="B937" s="37"/>
    </row>
    <row r="938">
      <c r="B938" s="37"/>
    </row>
    <row r="939">
      <c r="B939" s="37"/>
    </row>
    <row r="940">
      <c r="B940" s="37"/>
    </row>
    <row r="941">
      <c r="B941" s="37"/>
    </row>
    <row r="942">
      <c r="B942" s="37"/>
    </row>
    <row r="943">
      <c r="B943" s="37"/>
    </row>
    <row r="944">
      <c r="B944" s="37"/>
    </row>
    <row r="945">
      <c r="B945" s="37"/>
    </row>
    <row r="946">
      <c r="B946" s="37"/>
    </row>
    <row r="947">
      <c r="B947" s="37"/>
    </row>
    <row r="948">
      <c r="B948" s="37"/>
    </row>
    <row r="949">
      <c r="B949" s="37"/>
    </row>
    <row r="950">
      <c r="B950" s="37"/>
    </row>
    <row r="951">
      <c r="B951" s="37"/>
    </row>
    <row r="952">
      <c r="B952" s="37"/>
    </row>
    <row r="953">
      <c r="B953" s="37"/>
    </row>
    <row r="954">
      <c r="B954" s="37"/>
    </row>
    <row r="955">
      <c r="B955" s="37"/>
    </row>
    <row r="956">
      <c r="B956" s="37"/>
    </row>
    <row r="957">
      <c r="B957" s="37"/>
    </row>
    <row r="958">
      <c r="B958" s="37"/>
    </row>
    <row r="959">
      <c r="B959" s="37"/>
    </row>
    <row r="960">
      <c r="B960" s="37"/>
    </row>
    <row r="961">
      <c r="B961" s="37"/>
    </row>
    <row r="962">
      <c r="B962" s="37"/>
    </row>
    <row r="963">
      <c r="B963" s="37"/>
    </row>
    <row r="964">
      <c r="B964" s="37"/>
    </row>
    <row r="965">
      <c r="B965" s="37"/>
    </row>
    <row r="966">
      <c r="B966" s="37"/>
    </row>
    <row r="967">
      <c r="B967" s="37"/>
    </row>
    <row r="968">
      <c r="B968" s="37"/>
    </row>
    <row r="969">
      <c r="B969" s="37"/>
    </row>
    <row r="970">
      <c r="B970" s="37"/>
    </row>
    <row r="971">
      <c r="B971" s="37"/>
    </row>
    <row r="972">
      <c r="B972" s="37"/>
    </row>
    <row r="973">
      <c r="B973" s="37"/>
    </row>
    <row r="974">
      <c r="B974" s="37"/>
    </row>
    <row r="975">
      <c r="B975" s="37"/>
    </row>
    <row r="976">
      <c r="B976" s="37"/>
    </row>
    <row r="977">
      <c r="B977" s="37"/>
    </row>
    <row r="978">
      <c r="B978" s="37"/>
    </row>
    <row r="979">
      <c r="B979" s="37"/>
    </row>
    <row r="980">
      <c r="B980" s="37"/>
    </row>
    <row r="981">
      <c r="B981" s="37"/>
    </row>
    <row r="982">
      <c r="B982" s="37"/>
    </row>
    <row r="983">
      <c r="B983" s="37"/>
    </row>
    <row r="984">
      <c r="B984" s="37"/>
    </row>
    <row r="985">
      <c r="B985" s="37"/>
    </row>
    <row r="986">
      <c r="B986" s="37"/>
    </row>
    <row r="987">
      <c r="B987" s="37"/>
    </row>
    <row r="988">
      <c r="B988" s="37"/>
    </row>
    <row r="989">
      <c r="B989" s="37"/>
    </row>
    <row r="990">
      <c r="B990" s="37"/>
    </row>
    <row r="991">
      <c r="B991" s="37"/>
    </row>
    <row r="992">
      <c r="B992" s="37"/>
    </row>
    <row r="993">
      <c r="B993" s="37"/>
    </row>
    <row r="994">
      <c r="B994" s="37"/>
    </row>
    <row r="995">
      <c r="B995" s="37"/>
    </row>
    <row r="996">
      <c r="B996" s="37"/>
    </row>
    <row r="997">
      <c r="B997" s="37"/>
    </row>
    <row r="998">
      <c r="B998" s="37"/>
    </row>
    <row r="999">
      <c r="B999" s="37"/>
    </row>
    <row r="1000">
      <c r="B1000" s="37"/>
    </row>
    <row r="1001">
      <c r="B1001" s="37"/>
    </row>
    <row r="1002">
      <c r="B1002" s="37"/>
    </row>
    <row r="1003">
      <c r="B1003" s="37"/>
    </row>
    <row r="1004">
      <c r="B1004" s="37"/>
    </row>
    <row r="1005">
      <c r="B1005" s="37"/>
    </row>
    <row r="1006">
      <c r="B1006" s="37"/>
    </row>
    <row r="1007">
      <c r="B1007" s="37"/>
    </row>
    <row r="1008">
      <c r="B1008" s="37"/>
    </row>
    <row r="1009">
      <c r="B1009" s="37"/>
    </row>
    <row r="1010">
      <c r="B1010" s="37"/>
    </row>
    <row r="1011">
      <c r="B1011" s="37"/>
    </row>
    <row r="1012">
      <c r="B1012" s="37"/>
    </row>
    <row r="1013">
      <c r="B1013" s="37"/>
    </row>
    <row r="1014">
      <c r="B1014" s="37"/>
    </row>
    <row r="1015">
      <c r="B1015" s="37"/>
    </row>
    <row r="1016">
      <c r="B1016" s="37"/>
    </row>
    <row r="1017">
      <c r="B1017" s="37"/>
    </row>
    <row r="1018">
      <c r="B1018" s="37"/>
    </row>
    <row r="1019">
      <c r="B1019" s="37"/>
    </row>
    <row r="1020">
      <c r="B1020" s="37"/>
    </row>
    <row r="1021">
      <c r="B1021" s="37"/>
    </row>
    <row r="1022">
      <c r="B1022" s="3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7.13"/>
    <col customWidth="1" min="3" max="3" width="23.63"/>
    <col customWidth="1" min="4" max="5" width="24.13"/>
    <col customWidth="1" min="7" max="7" width="36.25"/>
  </cols>
  <sheetData>
    <row r="1">
      <c r="A1" s="1" t="s">
        <v>0</v>
      </c>
      <c r="B1" s="1" t="s">
        <v>47</v>
      </c>
      <c r="C1" s="1" t="s">
        <v>1</v>
      </c>
      <c r="D1" s="2" t="s">
        <v>2</v>
      </c>
      <c r="E1" s="2" t="s">
        <v>3</v>
      </c>
      <c r="F1" s="38"/>
      <c r="G1" s="38"/>
      <c r="H1" s="38"/>
      <c r="I1" s="38"/>
    </row>
    <row r="2">
      <c r="A2" s="39" t="s">
        <v>48</v>
      </c>
      <c r="B2" s="40" t="s">
        <v>49</v>
      </c>
      <c r="C2" s="41">
        <v>200000.0</v>
      </c>
      <c r="D2" s="42">
        <v>45962.0</v>
      </c>
      <c r="E2" s="4" t="s">
        <v>10</v>
      </c>
      <c r="F2" s="38"/>
      <c r="G2" s="38"/>
      <c r="H2" s="38"/>
      <c r="I2" s="38"/>
    </row>
    <row r="3">
      <c r="A3" s="43" t="s">
        <v>50</v>
      </c>
      <c r="B3" s="43"/>
      <c r="C3" s="44">
        <v>5000.0</v>
      </c>
      <c r="D3" s="45">
        <v>45964.0</v>
      </c>
      <c r="E3" s="4" t="s">
        <v>7</v>
      </c>
      <c r="F3" s="38"/>
      <c r="G3" s="38"/>
      <c r="H3" s="38"/>
      <c r="I3" s="38"/>
    </row>
    <row r="4">
      <c r="A4" s="43" t="s">
        <v>39</v>
      </c>
      <c r="B4" s="43"/>
      <c r="C4" s="44">
        <v>18000.0</v>
      </c>
      <c r="D4" s="42">
        <v>45966.0</v>
      </c>
      <c r="E4" s="8" t="s">
        <v>10</v>
      </c>
      <c r="F4" s="38"/>
      <c r="G4" s="38"/>
      <c r="H4" s="38"/>
      <c r="I4" s="38"/>
    </row>
    <row r="5">
      <c r="A5" s="46" t="s">
        <v>51</v>
      </c>
      <c r="B5" s="46"/>
      <c r="C5" s="44">
        <v>9000.0</v>
      </c>
      <c r="D5" s="42">
        <v>45970.0</v>
      </c>
      <c r="E5" s="8" t="s">
        <v>10</v>
      </c>
      <c r="F5" s="38"/>
      <c r="G5" s="33"/>
      <c r="H5" s="47">
        <v>1245314.93</v>
      </c>
      <c r="I5" s="38"/>
    </row>
    <row r="6">
      <c r="A6" s="48" t="s">
        <v>48</v>
      </c>
      <c r="B6" s="43" t="s">
        <v>52</v>
      </c>
      <c r="C6" s="44">
        <v>100000.0</v>
      </c>
      <c r="D6" s="49">
        <v>45971.0</v>
      </c>
      <c r="E6" s="8" t="s">
        <v>10</v>
      </c>
      <c r="F6" s="38"/>
      <c r="G6" s="15"/>
      <c r="H6" s="50">
        <v>-0.06</v>
      </c>
      <c r="I6" s="38"/>
    </row>
    <row r="7">
      <c r="A7" s="46" t="s">
        <v>53</v>
      </c>
      <c r="B7" s="46"/>
      <c r="C7" s="44">
        <v>3000.0</v>
      </c>
      <c r="D7" s="49">
        <v>45971.0</v>
      </c>
      <c r="E7" s="8" t="s">
        <v>10</v>
      </c>
      <c r="F7" s="38"/>
      <c r="G7" s="38"/>
      <c r="H7" s="51">
        <v>1170596.03</v>
      </c>
      <c r="I7" s="38"/>
    </row>
    <row r="8">
      <c r="A8" s="52" t="s">
        <v>54</v>
      </c>
      <c r="B8" s="46"/>
      <c r="C8" s="53">
        <v>21357.6</v>
      </c>
      <c r="D8" s="49">
        <v>45971.0</v>
      </c>
      <c r="E8" s="8" t="s">
        <v>10</v>
      </c>
      <c r="F8" s="38"/>
      <c r="G8" s="38"/>
      <c r="H8" s="15"/>
      <c r="I8" s="38"/>
    </row>
    <row r="9">
      <c r="A9" s="54" t="s">
        <v>32</v>
      </c>
      <c r="B9" s="46" t="s">
        <v>49</v>
      </c>
      <c r="C9" s="53">
        <v>55200.0</v>
      </c>
      <c r="D9" s="49">
        <v>45972.0</v>
      </c>
      <c r="E9" s="8" t="s">
        <v>55</v>
      </c>
      <c r="F9" s="38"/>
      <c r="G9" s="38"/>
      <c r="H9" s="15"/>
      <c r="I9" s="38"/>
    </row>
    <row r="10">
      <c r="A10" s="55" t="s">
        <v>9</v>
      </c>
      <c r="B10" s="43"/>
      <c r="C10" s="44">
        <v>64000.0</v>
      </c>
      <c r="D10" s="49">
        <v>45973.0</v>
      </c>
      <c r="E10" s="8" t="s">
        <v>10</v>
      </c>
      <c r="F10" s="38"/>
      <c r="G10" s="38"/>
      <c r="H10" s="38"/>
      <c r="I10" s="38"/>
    </row>
    <row r="11">
      <c r="A11" s="55" t="s">
        <v>56</v>
      </c>
      <c r="B11" s="43"/>
      <c r="C11" s="44">
        <v>50000.0</v>
      </c>
      <c r="D11" s="56">
        <v>45973.0</v>
      </c>
      <c r="E11" s="8" t="s">
        <v>10</v>
      </c>
      <c r="F11" s="38"/>
      <c r="G11" s="38"/>
      <c r="H11" s="38"/>
      <c r="I11" s="38"/>
    </row>
    <row r="12">
      <c r="A12" s="55" t="s">
        <v>18</v>
      </c>
      <c r="B12" s="43"/>
      <c r="C12" s="44">
        <v>32000.0</v>
      </c>
      <c r="D12" s="56">
        <v>45973.0</v>
      </c>
      <c r="E12" s="8" t="s">
        <v>10</v>
      </c>
      <c r="F12" s="38"/>
      <c r="G12" s="38"/>
      <c r="H12" s="38"/>
      <c r="I12" s="38"/>
    </row>
    <row r="13">
      <c r="A13" s="46" t="s">
        <v>57</v>
      </c>
      <c r="B13" s="46"/>
      <c r="C13" s="44">
        <v>1000.0</v>
      </c>
      <c r="D13" s="56">
        <v>45974.0</v>
      </c>
      <c r="E13" s="8" t="s">
        <v>5</v>
      </c>
      <c r="F13" s="38"/>
      <c r="G13" s="57">
        <f>C2+C6+C9+C14+C15+C16+C19+C20+C23+C24+C29</f>
        <v>1062730</v>
      </c>
      <c r="H13" s="15" t="s">
        <v>19</v>
      </c>
      <c r="I13" s="38"/>
    </row>
    <row r="14">
      <c r="A14" s="54" t="s">
        <v>58</v>
      </c>
      <c r="B14" s="46" t="s">
        <v>59</v>
      </c>
      <c r="C14" s="44">
        <v>20220.0</v>
      </c>
      <c r="D14" s="56">
        <v>45975.0</v>
      </c>
      <c r="E14" s="8" t="s">
        <v>5</v>
      </c>
      <c r="F14" s="38"/>
      <c r="G14" s="57">
        <f>C10+C11+C12+C17+C18+C21+C22</f>
        <v>217018.1</v>
      </c>
      <c r="H14" s="15" t="s">
        <v>21</v>
      </c>
      <c r="I14" s="38"/>
    </row>
    <row r="15">
      <c r="A15" s="48" t="s">
        <v>15</v>
      </c>
      <c r="B15" s="43" t="s">
        <v>59</v>
      </c>
      <c r="C15" s="44">
        <v>9000.0</v>
      </c>
      <c r="D15" s="49">
        <v>45976.0</v>
      </c>
      <c r="E15" s="8" t="s">
        <v>10</v>
      </c>
      <c r="F15" s="38"/>
      <c r="G15" s="57">
        <f>C3+C4+C5+C7+C13+C25+C26+C27+C28</f>
        <v>81990</v>
      </c>
      <c r="H15" s="21" t="s">
        <v>23</v>
      </c>
      <c r="I15" s="38"/>
    </row>
    <row r="16">
      <c r="A16" s="48" t="s">
        <v>35</v>
      </c>
      <c r="B16" s="46" t="s">
        <v>60</v>
      </c>
      <c r="C16" s="44">
        <v>70080.0</v>
      </c>
      <c r="D16" s="49">
        <v>45976.0</v>
      </c>
      <c r="E16" s="8" t="s">
        <v>61</v>
      </c>
      <c r="F16" s="38"/>
      <c r="G16" s="57">
        <f>C30+C31</f>
        <v>28892.1</v>
      </c>
      <c r="H16" s="15" t="s">
        <v>25</v>
      </c>
      <c r="I16" s="38"/>
    </row>
    <row r="17">
      <c r="A17" s="55" t="s">
        <v>26</v>
      </c>
      <c r="B17" s="46"/>
      <c r="C17" s="44">
        <v>16226.0</v>
      </c>
      <c r="D17" s="49">
        <v>45976.0</v>
      </c>
      <c r="E17" s="8" t="s">
        <v>62</v>
      </c>
      <c r="F17" s="38"/>
      <c r="G17" s="57">
        <f>C8+C32</f>
        <v>96076.5</v>
      </c>
      <c r="H17" s="15" t="s">
        <v>28</v>
      </c>
      <c r="I17" s="38"/>
      <c r="J17" s="58">
        <f>G17-C32</f>
        <v>21357.6</v>
      </c>
    </row>
    <row r="18">
      <c r="A18" s="55" t="s">
        <v>29</v>
      </c>
      <c r="B18" s="46"/>
      <c r="C18" s="44">
        <v>13792.1</v>
      </c>
      <c r="D18" s="49">
        <v>45976.0</v>
      </c>
      <c r="E18" s="8" t="s">
        <v>63</v>
      </c>
      <c r="F18" s="38"/>
      <c r="G18" s="57">
        <f>SUM(G13:G17)</f>
        <v>1486706.7</v>
      </c>
      <c r="H18" s="38"/>
      <c r="I18" s="38"/>
    </row>
    <row r="19">
      <c r="A19" s="48" t="s">
        <v>64</v>
      </c>
      <c r="B19" s="46" t="s">
        <v>65</v>
      </c>
      <c r="C19" s="44">
        <v>59280.0</v>
      </c>
      <c r="D19" s="56">
        <v>45977.0</v>
      </c>
      <c r="E19" s="8" t="s">
        <v>10</v>
      </c>
      <c r="F19" s="38"/>
      <c r="G19" s="38"/>
      <c r="H19" s="38"/>
      <c r="I19" s="38"/>
    </row>
    <row r="20">
      <c r="A20" s="48" t="s">
        <v>14</v>
      </c>
      <c r="B20" s="43" t="s">
        <v>59</v>
      </c>
      <c r="C20" s="44">
        <v>15000.0</v>
      </c>
      <c r="D20" s="49">
        <v>45978.0</v>
      </c>
      <c r="E20" s="8" t="s">
        <v>10</v>
      </c>
      <c r="F20" s="38"/>
      <c r="G20" s="57">
        <f>G18-G17</f>
        <v>1390630.2</v>
      </c>
      <c r="H20" s="38"/>
      <c r="I20" s="38"/>
    </row>
    <row r="21">
      <c r="A21" s="59" t="s">
        <v>20</v>
      </c>
      <c r="B21" s="46"/>
      <c r="C21" s="53">
        <v>30000.0</v>
      </c>
      <c r="D21" s="26">
        <v>45980.0</v>
      </c>
      <c r="E21" s="8" t="s">
        <v>5</v>
      </c>
      <c r="F21" s="38"/>
      <c r="G21" s="60"/>
      <c r="H21" s="60"/>
      <c r="I21" s="38"/>
    </row>
    <row r="22">
      <c r="A22" s="59" t="s">
        <v>22</v>
      </c>
      <c r="B22" s="46"/>
      <c r="C22" s="53">
        <v>11000.0</v>
      </c>
      <c r="D22" s="26">
        <v>45980.0</v>
      </c>
      <c r="E22" s="8" t="s">
        <v>5</v>
      </c>
      <c r="F22" s="38"/>
      <c r="G22" s="60"/>
      <c r="H22" s="61"/>
      <c r="I22" s="38"/>
    </row>
    <row r="23">
      <c r="A23" s="54" t="s">
        <v>16</v>
      </c>
      <c r="B23" s="46" t="s">
        <v>66</v>
      </c>
      <c r="C23" s="53">
        <v>33000.0</v>
      </c>
      <c r="D23" s="26">
        <v>45981.0</v>
      </c>
      <c r="E23" s="8" t="s">
        <v>10</v>
      </c>
      <c r="F23" s="38"/>
      <c r="G23" s="60"/>
      <c r="H23" s="60"/>
      <c r="I23" s="38"/>
    </row>
    <row r="24">
      <c r="A24" s="54" t="s">
        <v>13</v>
      </c>
      <c r="B24" s="46" t="s">
        <v>59</v>
      </c>
      <c r="C24" s="53">
        <v>19950.0</v>
      </c>
      <c r="D24" s="26">
        <v>45985.0</v>
      </c>
      <c r="E24" s="8" t="s">
        <v>10</v>
      </c>
      <c r="F24" s="38"/>
      <c r="G24" s="60"/>
      <c r="H24" s="60"/>
      <c r="I24" s="38"/>
    </row>
    <row r="25">
      <c r="A25" s="46" t="s">
        <v>67</v>
      </c>
      <c r="B25" s="46"/>
      <c r="C25" s="53">
        <v>20000.0</v>
      </c>
      <c r="D25" s="26">
        <v>45986.0</v>
      </c>
      <c r="E25" s="8" t="s">
        <v>10</v>
      </c>
      <c r="F25" s="38"/>
      <c r="G25" s="60"/>
      <c r="H25" s="60"/>
      <c r="I25" s="38"/>
    </row>
    <row r="26">
      <c r="A26" s="46" t="s">
        <v>68</v>
      </c>
      <c r="B26" s="46"/>
      <c r="C26" s="53">
        <v>4000.0</v>
      </c>
      <c r="D26" s="26">
        <v>45986.0</v>
      </c>
      <c r="E26" s="8" t="s">
        <v>10</v>
      </c>
      <c r="F26" s="38"/>
      <c r="G26" s="60"/>
      <c r="H26" s="60"/>
      <c r="I26" s="38"/>
    </row>
    <row r="27">
      <c r="A27" s="46" t="s">
        <v>39</v>
      </c>
      <c r="B27" s="46"/>
      <c r="C27" s="53">
        <v>18000.0</v>
      </c>
      <c r="D27" s="26">
        <v>45988.0</v>
      </c>
      <c r="E27" s="8" t="s">
        <v>10</v>
      </c>
      <c r="F27" s="38"/>
      <c r="G27" s="60"/>
      <c r="H27" s="60"/>
      <c r="I27" s="38"/>
    </row>
    <row r="28">
      <c r="A28" s="43" t="s">
        <v>11</v>
      </c>
      <c r="B28" s="46"/>
      <c r="C28" s="53">
        <v>3990.0</v>
      </c>
      <c r="D28" s="26">
        <v>45990.0</v>
      </c>
      <c r="E28" s="8" t="s">
        <v>10</v>
      </c>
      <c r="F28" s="38"/>
      <c r="G28" s="60"/>
      <c r="H28" s="60"/>
      <c r="I28" s="38"/>
    </row>
    <row r="29">
      <c r="A29" s="54" t="s">
        <v>69</v>
      </c>
      <c r="B29" s="46" t="s">
        <v>70</v>
      </c>
      <c r="C29" s="62">
        <v>481000.0</v>
      </c>
      <c r="D29" s="26">
        <v>45991.0</v>
      </c>
      <c r="E29" s="8" t="s">
        <v>10</v>
      </c>
      <c r="F29" s="38"/>
      <c r="G29" s="60"/>
      <c r="H29" s="60"/>
      <c r="I29" s="38"/>
    </row>
    <row r="30">
      <c r="A30" s="63" t="s">
        <v>44</v>
      </c>
      <c r="B30" s="46" t="s">
        <v>71</v>
      </c>
      <c r="C30" s="62">
        <v>10361.1</v>
      </c>
      <c r="D30" s="26">
        <v>45991.0</v>
      </c>
      <c r="E30" s="8" t="s">
        <v>10</v>
      </c>
      <c r="F30" s="38"/>
      <c r="G30" s="38"/>
      <c r="H30" s="38"/>
      <c r="I30" s="38"/>
    </row>
    <row r="31">
      <c r="A31" s="63" t="s">
        <v>45</v>
      </c>
      <c r="B31" s="46" t="s">
        <v>71</v>
      </c>
      <c r="C31" s="62">
        <v>18531.0</v>
      </c>
      <c r="D31" s="26">
        <v>45991.0</v>
      </c>
      <c r="E31" s="8" t="s">
        <v>10</v>
      </c>
      <c r="F31" s="38"/>
      <c r="G31" s="38"/>
      <c r="H31" s="38"/>
      <c r="I31" s="38"/>
    </row>
    <row r="32">
      <c r="A32" s="52" t="s">
        <v>43</v>
      </c>
      <c r="B32" s="46" t="s">
        <v>71</v>
      </c>
      <c r="C32" s="62">
        <f>H5-H7</f>
        <v>74718.9</v>
      </c>
      <c r="D32" s="26">
        <v>45991.0</v>
      </c>
      <c r="E32" s="8" t="s">
        <v>10</v>
      </c>
      <c r="F32" s="38"/>
      <c r="G32" s="38"/>
      <c r="H32" s="38"/>
      <c r="I32" s="38"/>
    </row>
    <row r="33">
      <c r="A33" s="43" t="s">
        <v>46</v>
      </c>
      <c r="B33" s="43"/>
      <c r="C33" s="44">
        <f>SUM(C2:C32)</f>
        <v>1486706.7</v>
      </c>
      <c r="D33" s="4"/>
      <c r="E33" s="4"/>
      <c r="F33" s="38"/>
      <c r="G33" s="38"/>
      <c r="H33" s="38"/>
      <c r="I33" s="38"/>
    </row>
    <row r="34">
      <c r="A34" s="31"/>
      <c r="B34" s="31"/>
      <c r="C34" s="32"/>
    </row>
    <row r="35">
      <c r="A35" s="31"/>
      <c r="B35" s="31"/>
      <c r="C35" s="32"/>
    </row>
    <row r="36">
      <c r="A36" s="31"/>
      <c r="B36" s="31"/>
      <c r="C36" s="32"/>
    </row>
    <row r="37">
      <c r="A37" s="31"/>
      <c r="B37" s="31"/>
      <c r="C37" s="32"/>
      <c r="G37" s="33"/>
      <c r="H37" s="34"/>
    </row>
    <row r="38">
      <c r="A38" s="35"/>
      <c r="B38" s="35"/>
      <c r="C38" s="32"/>
    </row>
    <row r="39">
      <c r="A39" s="35"/>
      <c r="B39" s="35"/>
      <c r="C39" s="36"/>
    </row>
    <row r="40">
      <c r="A40" s="35"/>
      <c r="B40" s="35"/>
      <c r="C40" s="36"/>
    </row>
    <row r="41">
      <c r="A41" s="35"/>
      <c r="B41" s="35"/>
      <c r="C41" s="36"/>
    </row>
    <row r="42">
      <c r="C42" s="37"/>
    </row>
    <row r="43">
      <c r="C43" s="37"/>
    </row>
    <row r="44">
      <c r="C44" s="37"/>
    </row>
    <row r="45">
      <c r="C45" s="37"/>
    </row>
    <row r="46">
      <c r="C46" s="37"/>
    </row>
    <row r="47">
      <c r="C47" s="37"/>
    </row>
    <row r="48">
      <c r="C48" s="37"/>
    </row>
    <row r="49">
      <c r="C49" s="37"/>
    </row>
    <row r="50">
      <c r="C50" s="37"/>
    </row>
    <row r="51">
      <c r="C51" s="37"/>
    </row>
    <row r="52">
      <c r="C52" s="37"/>
    </row>
    <row r="53">
      <c r="C53" s="37"/>
    </row>
    <row r="54">
      <c r="C54" s="37"/>
    </row>
    <row r="55">
      <c r="C55" s="37"/>
    </row>
    <row r="56">
      <c r="C56" s="37"/>
    </row>
    <row r="57">
      <c r="C57" s="37"/>
    </row>
    <row r="58">
      <c r="C58" s="37"/>
    </row>
    <row r="59">
      <c r="C59" s="37"/>
    </row>
    <row r="60">
      <c r="C60" s="37"/>
    </row>
    <row r="61">
      <c r="C61" s="37"/>
    </row>
    <row r="62">
      <c r="C62" s="37"/>
    </row>
    <row r="63">
      <c r="C63" s="37"/>
    </row>
    <row r="64">
      <c r="C64" s="37"/>
    </row>
    <row r="65">
      <c r="C65" s="37"/>
    </row>
    <row r="66">
      <c r="C66" s="37"/>
    </row>
    <row r="67">
      <c r="C67" s="37"/>
    </row>
    <row r="68">
      <c r="C68" s="37"/>
    </row>
    <row r="69">
      <c r="C69" s="37"/>
    </row>
    <row r="70">
      <c r="C70" s="37"/>
    </row>
    <row r="71">
      <c r="C71" s="37"/>
    </row>
    <row r="72">
      <c r="C72" s="37"/>
    </row>
    <row r="73">
      <c r="C73" s="37"/>
    </row>
    <row r="74">
      <c r="C74" s="37"/>
    </row>
    <row r="75">
      <c r="C75" s="37"/>
    </row>
    <row r="76">
      <c r="C76" s="37"/>
    </row>
    <row r="77">
      <c r="C77" s="37"/>
    </row>
    <row r="78">
      <c r="C78" s="37"/>
    </row>
    <row r="79">
      <c r="C79" s="37"/>
    </row>
    <row r="80">
      <c r="C80" s="37"/>
    </row>
    <row r="81">
      <c r="C81" s="37"/>
    </row>
    <row r="82">
      <c r="C82" s="37"/>
    </row>
    <row r="83">
      <c r="C83" s="37"/>
    </row>
    <row r="84">
      <c r="C84" s="37"/>
    </row>
    <row r="85">
      <c r="C85" s="37"/>
    </row>
    <row r="86">
      <c r="C86" s="37"/>
    </row>
    <row r="87">
      <c r="C87" s="37"/>
    </row>
    <row r="88">
      <c r="C88" s="37"/>
    </row>
    <row r="89">
      <c r="C89" s="37"/>
    </row>
    <row r="90">
      <c r="C90" s="37"/>
    </row>
    <row r="91">
      <c r="C91" s="37"/>
    </row>
    <row r="92">
      <c r="C92" s="37"/>
    </row>
    <row r="93">
      <c r="C93" s="37"/>
    </row>
    <row r="94">
      <c r="C94" s="37"/>
    </row>
    <row r="95">
      <c r="C95" s="37"/>
    </row>
    <row r="96">
      <c r="C96" s="37"/>
    </row>
    <row r="97">
      <c r="C97" s="37"/>
    </row>
    <row r="98">
      <c r="C98" s="37"/>
    </row>
    <row r="99">
      <c r="C99" s="37"/>
    </row>
    <row r="100">
      <c r="C100" s="37"/>
    </row>
    <row r="101">
      <c r="C101" s="37"/>
    </row>
    <row r="102">
      <c r="C102" s="37"/>
    </row>
    <row r="103">
      <c r="C103" s="37"/>
    </row>
    <row r="104">
      <c r="C104" s="37"/>
    </row>
    <row r="105">
      <c r="C105" s="37"/>
    </row>
    <row r="106">
      <c r="C106" s="37"/>
    </row>
    <row r="107">
      <c r="C107" s="37"/>
    </row>
    <row r="108">
      <c r="C108" s="37"/>
    </row>
    <row r="109">
      <c r="C109" s="37"/>
    </row>
    <row r="110">
      <c r="C110" s="37"/>
    </row>
    <row r="111">
      <c r="C111" s="37"/>
    </row>
    <row r="112">
      <c r="C112" s="37"/>
    </row>
    <row r="113">
      <c r="C113" s="37"/>
    </row>
    <row r="114">
      <c r="C114" s="37"/>
    </row>
    <row r="115">
      <c r="C115" s="37"/>
    </row>
    <row r="116">
      <c r="C116" s="37"/>
    </row>
    <row r="117">
      <c r="C117" s="37"/>
    </row>
    <row r="118">
      <c r="C118" s="37"/>
    </row>
    <row r="119">
      <c r="C119" s="37"/>
    </row>
    <row r="120">
      <c r="C120" s="37"/>
    </row>
    <row r="121">
      <c r="C121" s="37"/>
    </row>
    <row r="122">
      <c r="C122" s="37"/>
    </row>
    <row r="123">
      <c r="C123" s="37"/>
    </row>
    <row r="124">
      <c r="C124" s="37"/>
    </row>
    <row r="125">
      <c r="C125" s="37"/>
    </row>
    <row r="126">
      <c r="C126" s="37"/>
    </row>
    <row r="127">
      <c r="C127" s="37"/>
    </row>
    <row r="128">
      <c r="C128" s="37"/>
    </row>
    <row r="129">
      <c r="C129" s="37"/>
    </row>
    <row r="130">
      <c r="C130" s="37"/>
    </row>
    <row r="131">
      <c r="C131" s="37"/>
    </row>
    <row r="132">
      <c r="C132" s="37"/>
    </row>
    <row r="133">
      <c r="C133" s="37"/>
    </row>
    <row r="134">
      <c r="C134" s="37"/>
    </row>
    <row r="135">
      <c r="C135" s="37"/>
    </row>
    <row r="136">
      <c r="C136" s="37"/>
    </row>
    <row r="137">
      <c r="C137" s="37"/>
    </row>
    <row r="138">
      <c r="C138" s="37"/>
    </row>
    <row r="139">
      <c r="C139" s="37"/>
    </row>
    <row r="140">
      <c r="C140" s="37"/>
    </row>
    <row r="141">
      <c r="C141" s="37"/>
    </row>
    <row r="142">
      <c r="C142" s="37"/>
    </row>
    <row r="143">
      <c r="C143" s="37"/>
    </row>
    <row r="144">
      <c r="C144" s="37"/>
    </row>
    <row r="145">
      <c r="C145" s="37"/>
    </row>
    <row r="146">
      <c r="C146" s="37"/>
    </row>
    <row r="147">
      <c r="C147" s="37"/>
    </row>
    <row r="148">
      <c r="C148" s="37"/>
    </row>
    <row r="149">
      <c r="C149" s="37"/>
    </row>
    <row r="150">
      <c r="C150" s="37"/>
    </row>
    <row r="151">
      <c r="C151" s="37"/>
    </row>
    <row r="152">
      <c r="C152" s="37"/>
    </row>
    <row r="153">
      <c r="C153" s="37"/>
    </row>
    <row r="154">
      <c r="C154" s="37"/>
    </row>
    <row r="155">
      <c r="C155" s="37"/>
    </row>
    <row r="156">
      <c r="C156" s="37"/>
    </row>
    <row r="157">
      <c r="C157" s="37"/>
    </row>
    <row r="158">
      <c r="C158" s="37"/>
    </row>
    <row r="159">
      <c r="C159" s="37"/>
    </row>
    <row r="160">
      <c r="C160" s="37"/>
    </row>
    <row r="161">
      <c r="C161" s="37"/>
    </row>
    <row r="162">
      <c r="C162" s="37"/>
    </row>
    <row r="163">
      <c r="C163" s="37"/>
    </row>
    <row r="164">
      <c r="C164" s="37"/>
    </row>
    <row r="165">
      <c r="C165" s="37"/>
    </row>
    <row r="166">
      <c r="C166" s="37"/>
    </row>
    <row r="167">
      <c r="C167" s="37"/>
    </row>
    <row r="168">
      <c r="C168" s="37"/>
    </row>
    <row r="169">
      <c r="C169" s="37"/>
    </row>
    <row r="170">
      <c r="C170" s="37"/>
    </row>
    <row r="171">
      <c r="C171" s="37"/>
    </row>
    <row r="172">
      <c r="C172" s="37"/>
    </row>
    <row r="173">
      <c r="C173" s="37"/>
    </row>
    <row r="174">
      <c r="C174" s="37"/>
    </row>
    <row r="175">
      <c r="C175" s="37"/>
    </row>
    <row r="176">
      <c r="C176" s="37"/>
    </row>
    <row r="177">
      <c r="C177" s="37"/>
    </row>
    <row r="178">
      <c r="C178" s="37"/>
    </row>
    <row r="179">
      <c r="C179" s="37"/>
    </row>
    <row r="180">
      <c r="C180" s="37"/>
    </row>
    <row r="181">
      <c r="C181" s="37"/>
    </row>
    <row r="182">
      <c r="C182" s="37"/>
    </row>
    <row r="183">
      <c r="C183" s="37"/>
    </row>
    <row r="184">
      <c r="C184" s="37"/>
    </row>
    <row r="185">
      <c r="C185" s="37"/>
    </row>
    <row r="186">
      <c r="C186" s="37"/>
    </row>
    <row r="187">
      <c r="C187" s="37"/>
    </row>
    <row r="188">
      <c r="C188" s="37"/>
    </row>
    <row r="189">
      <c r="C189" s="37"/>
    </row>
    <row r="190">
      <c r="C190" s="37"/>
    </row>
    <row r="191">
      <c r="C191" s="37"/>
    </row>
    <row r="192">
      <c r="C192" s="37"/>
    </row>
    <row r="193">
      <c r="C193" s="37"/>
    </row>
    <row r="194">
      <c r="C194" s="37"/>
    </row>
    <row r="195">
      <c r="C195" s="37"/>
    </row>
    <row r="196">
      <c r="C196" s="37"/>
    </row>
    <row r="197">
      <c r="C197" s="37"/>
    </row>
    <row r="198">
      <c r="C198" s="37"/>
    </row>
    <row r="199">
      <c r="C199" s="37"/>
    </row>
    <row r="200">
      <c r="C200" s="37"/>
    </row>
    <row r="201">
      <c r="C201" s="37"/>
    </row>
    <row r="202">
      <c r="C202" s="37"/>
    </row>
    <row r="203">
      <c r="C203" s="37"/>
    </row>
    <row r="204">
      <c r="C204" s="37"/>
    </row>
    <row r="205">
      <c r="C205" s="37"/>
    </row>
    <row r="206">
      <c r="C206" s="37"/>
    </row>
    <row r="207">
      <c r="C207" s="37"/>
    </row>
    <row r="208">
      <c r="C208" s="37"/>
    </row>
    <row r="209">
      <c r="C209" s="37"/>
    </row>
    <row r="210">
      <c r="C210" s="37"/>
    </row>
    <row r="211">
      <c r="C211" s="37"/>
    </row>
    <row r="212">
      <c r="C212" s="37"/>
    </row>
    <row r="213">
      <c r="C213" s="37"/>
    </row>
    <row r="214">
      <c r="C214" s="37"/>
    </row>
    <row r="215">
      <c r="C215" s="37"/>
    </row>
    <row r="216">
      <c r="C216" s="37"/>
    </row>
    <row r="217">
      <c r="C217" s="37"/>
    </row>
    <row r="218">
      <c r="C218" s="37"/>
    </row>
    <row r="219">
      <c r="C219" s="37"/>
    </row>
    <row r="220">
      <c r="C220" s="37"/>
    </row>
    <row r="221">
      <c r="C221" s="37"/>
    </row>
    <row r="222">
      <c r="C222" s="37"/>
    </row>
    <row r="223">
      <c r="C223" s="37"/>
    </row>
    <row r="224">
      <c r="C224" s="37"/>
    </row>
    <row r="225">
      <c r="C225" s="37"/>
    </row>
    <row r="226">
      <c r="C226" s="37"/>
    </row>
    <row r="227">
      <c r="C227" s="37"/>
    </row>
    <row r="228">
      <c r="C228" s="37"/>
    </row>
    <row r="229">
      <c r="C229" s="37"/>
    </row>
    <row r="230">
      <c r="C230" s="37"/>
    </row>
    <row r="231">
      <c r="C231" s="37"/>
    </row>
    <row r="232">
      <c r="C232" s="37"/>
    </row>
    <row r="233">
      <c r="C233" s="37"/>
    </row>
    <row r="234">
      <c r="C234" s="37"/>
    </row>
    <row r="235">
      <c r="C235" s="37"/>
    </row>
    <row r="236">
      <c r="C236" s="37"/>
    </row>
    <row r="237">
      <c r="C237" s="37"/>
    </row>
    <row r="238">
      <c r="C238" s="37"/>
    </row>
    <row r="239">
      <c r="C239" s="37"/>
    </row>
    <row r="240">
      <c r="C240" s="37"/>
    </row>
    <row r="241">
      <c r="C241" s="37"/>
    </row>
    <row r="242">
      <c r="C242" s="37"/>
    </row>
    <row r="243">
      <c r="C243" s="37"/>
    </row>
    <row r="244">
      <c r="C244" s="37"/>
    </row>
    <row r="245">
      <c r="C245" s="37"/>
    </row>
    <row r="246">
      <c r="C246" s="37"/>
    </row>
    <row r="247">
      <c r="C247" s="37"/>
    </row>
    <row r="248">
      <c r="C248" s="37"/>
    </row>
    <row r="249">
      <c r="C249" s="37"/>
    </row>
    <row r="250">
      <c r="C250" s="37"/>
    </row>
    <row r="251">
      <c r="C251" s="37"/>
    </row>
    <row r="252">
      <c r="C252" s="37"/>
    </row>
    <row r="253">
      <c r="C253" s="37"/>
    </row>
    <row r="254">
      <c r="C254" s="37"/>
    </row>
    <row r="255">
      <c r="C255" s="37"/>
    </row>
    <row r="256">
      <c r="C256" s="37"/>
    </row>
    <row r="257">
      <c r="C257" s="37"/>
    </row>
    <row r="258">
      <c r="C258" s="37"/>
    </row>
    <row r="259">
      <c r="C259" s="37"/>
    </row>
    <row r="260">
      <c r="C260" s="37"/>
    </row>
    <row r="261">
      <c r="C261" s="37"/>
    </row>
    <row r="262">
      <c r="C262" s="37"/>
    </row>
    <row r="263">
      <c r="C263" s="37"/>
    </row>
    <row r="264">
      <c r="C264" s="37"/>
    </row>
    <row r="265">
      <c r="C265" s="37"/>
    </row>
    <row r="266">
      <c r="C266" s="37"/>
    </row>
    <row r="267">
      <c r="C267" s="37"/>
    </row>
    <row r="268">
      <c r="C268" s="37"/>
    </row>
    <row r="269">
      <c r="C269" s="37"/>
    </row>
    <row r="270">
      <c r="C270" s="37"/>
    </row>
    <row r="271">
      <c r="C271" s="37"/>
    </row>
    <row r="272">
      <c r="C272" s="37"/>
    </row>
    <row r="273">
      <c r="C273" s="37"/>
    </row>
    <row r="274">
      <c r="C274" s="37"/>
    </row>
    <row r="275">
      <c r="C275" s="37"/>
    </row>
    <row r="276">
      <c r="C276" s="37"/>
    </row>
    <row r="277">
      <c r="C277" s="37"/>
    </row>
    <row r="278">
      <c r="C278" s="37"/>
    </row>
    <row r="279">
      <c r="C279" s="37"/>
    </row>
    <row r="280">
      <c r="C280" s="37"/>
    </row>
    <row r="281">
      <c r="C281" s="37"/>
    </row>
    <row r="282">
      <c r="C282" s="37"/>
    </row>
    <row r="283">
      <c r="C283" s="37"/>
    </row>
    <row r="284">
      <c r="C284" s="37"/>
    </row>
    <row r="285">
      <c r="C285" s="37"/>
    </row>
    <row r="286">
      <c r="C286" s="37"/>
    </row>
    <row r="287">
      <c r="C287" s="37"/>
    </row>
    <row r="288">
      <c r="C288" s="37"/>
    </row>
    <row r="289">
      <c r="C289" s="37"/>
    </row>
    <row r="290">
      <c r="C290" s="37"/>
    </row>
    <row r="291">
      <c r="C291" s="37"/>
    </row>
    <row r="292">
      <c r="C292" s="37"/>
    </row>
    <row r="293">
      <c r="C293" s="37"/>
    </row>
    <row r="294">
      <c r="C294" s="37"/>
    </row>
    <row r="295">
      <c r="C295" s="37"/>
    </row>
    <row r="296">
      <c r="C296" s="37"/>
    </row>
    <row r="297">
      <c r="C297" s="37"/>
    </row>
    <row r="298">
      <c r="C298" s="37"/>
    </row>
    <row r="299">
      <c r="C299" s="37"/>
    </row>
    <row r="300">
      <c r="C300" s="37"/>
    </row>
    <row r="301">
      <c r="C301" s="37"/>
    </row>
    <row r="302">
      <c r="C302" s="37"/>
    </row>
    <row r="303">
      <c r="C303" s="37"/>
    </row>
    <row r="304">
      <c r="C304" s="37"/>
    </row>
    <row r="305">
      <c r="C305" s="37"/>
    </row>
    <row r="306">
      <c r="C306" s="37"/>
    </row>
    <row r="307">
      <c r="C307" s="37"/>
    </row>
    <row r="308">
      <c r="C308" s="37"/>
    </row>
    <row r="309">
      <c r="C309" s="37"/>
    </row>
    <row r="310">
      <c r="C310" s="37"/>
    </row>
    <row r="311">
      <c r="C311" s="37"/>
    </row>
    <row r="312">
      <c r="C312" s="37"/>
    </row>
    <row r="313">
      <c r="C313" s="37"/>
    </row>
    <row r="314">
      <c r="C314" s="37"/>
    </row>
    <row r="315">
      <c r="C315" s="37"/>
    </row>
    <row r="316">
      <c r="C316" s="37"/>
    </row>
    <row r="317">
      <c r="C317" s="37"/>
    </row>
    <row r="318">
      <c r="C318" s="37"/>
    </row>
    <row r="319">
      <c r="C319" s="37"/>
    </row>
    <row r="320">
      <c r="C320" s="37"/>
    </row>
    <row r="321">
      <c r="C321" s="37"/>
    </row>
    <row r="322">
      <c r="C322" s="37"/>
    </row>
    <row r="323">
      <c r="C323" s="37"/>
    </row>
    <row r="324">
      <c r="C324" s="37"/>
    </row>
    <row r="325">
      <c r="C325" s="37"/>
    </row>
    <row r="326">
      <c r="C326" s="37"/>
    </row>
    <row r="327">
      <c r="C327" s="37"/>
    </row>
    <row r="328">
      <c r="C328" s="37"/>
    </row>
    <row r="329">
      <c r="C329" s="37"/>
    </row>
    <row r="330">
      <c r="C330" s="37"/>
    </row>
    <row r="331">
      <c r="C331" s="37"/>
    </row>
    <row r="332">
      <c r="C332" s="37"/>
    </row>
    <row r="333">
      <c r="C333" s="37"/>
    </row>
    <row r="334">
      <c r="C334" s="37"/>
    </row>
    <row r="335">
      <c r="C335" s="37"/>
    </row>
    <row r="336">
      <c r="C336" s="37"/>
    </row>
    <row r="337">
      <c r="C337" s="37"/>
    </row>
    <row r="338">
      <c r="C338" s="37"/>
    </row>
    <row r="339">
      <c r="C339" s="37"/>
    </row>
    <row r="340">
      <c r="C340" s="37"/>
    </row>
    <row r="341">
      <c r="C341" s="37"/>
    </row>
    <row r="342">
      <c r="C342" s="37"/>
    </row>
    <row r="343">
      <c r="C343" s="37"/>
    </row>
    <row r="344">
      <c r="C344" s="37"/>
    </row>
    <row r="345">
      <c r="C345" s="37"/>
    </row>
    <row r="346">
      <c r="C346" s="37"/>
    </row>
    <row r="347">
      <c r="C347" s="37"/>
    </row>
    <row r="348">
      <c r="C348" s="37"/>
    </row>
    <row r="349">
      <c r="C349" s="37"/>
    </row>
    <row r="350">
      <c r="C350" s="37"/>
    </row>
    <row r="351">
      <c r="C351" s="37"/>
    </row>
    <row r="352">
      <c r="C352" s="37"/>
    </row>
    <row r="353">
      <c r="C353" s="37"/>
    </row>
    <row r="354">
      <c r="C354" s="37"/>
    </row>
    <row r="355">
      <c r="C355" s="37"/>
    </row>
    <row r="356">
      <c r="C356" s="37"/>
    </row>
    <row r="357">
      <c r="C357" s="37"/>
    </row>
    <row r="358">
      <c r="C358" s="37"/>
    </row>
    <row r="359">
      <c r="C359" s="37"/>
    </row>
    <row r="360">
      <c r="C360" s="37"/>
    </row>
    <row r="361">
      <c r="C361" s="37"/>
    </row>
    <row r="362">
      <c r="C362" s="37"/>
    </row>
    <row r="363">
      <c r="C363" s="37"/>
    </row>
    <row r="364">
      <c r="C364" s="37"/>
    </row>
    <row r="365">
      <c r="C365" s="37"/>
    </row>
    <row r="366">
      <c r="C366" s="37"/>
    </row>
    <row r="367">
      <c r="C367" s="37"/>
    </row>
    <row r="368">
      <c r="C368" s="37"/>
    </row>
    <row r="369">
      <c r="C369" s="37"/>
    </row>
    <row r="370">
      <c r="C370" s="37"/>
    </row>
    <row r="371">
      <c r="C371" s="37"/>
    </row>
    <row r="372">
      <c r="C372" s="37"/>
    </row>
    <row r="373">
      <c r="C373" s="37"/>
    </row>
    <row r="374">
      <c r="C374" s="37"/>
    </row>
    <row r="375">
      <c r="C375" s="37"/>
    </row>
    <row r="376">
      <c r="C376" s="37"/>
    </row>
    <row r="377">
      <c r="C377" s="37"/>
    </row>
    <row r="378">
      <c r="C378" s="37"/>
    </row>
    <row r="379">
      <c r="C379" s="37"/>
    </row>
    <row r="380">
      <c r="C380" s="37"/>
    </row>
    <row r="381">
      <c r="C381" s="37"/>
    </row>
    <row r="382">
      <c r="C382" s="37"/>
    </row>
    <row r="383">
      <c r="C383" s="37"/>
    </row>
    <row r="384">
      <c r="C384" s="37"/>
    </row>
    <row r="385">
      <c r="C385" s="37"/>
    </row>
    <row r="386">
      <c r="C386" s="37"/>
    </row>
    <row r="387">
      <c r="C387" s="37"/>
    </row>
    <row r="388">
      <c r="C388" s="37"/>
    </row>
    <row r="389">
      <c r="C389" s="37"/>
    </row>
    <row r="390">
      <c r="C390" s="37"/>
    </row>
    <row r="391">
      <c r="C391" s="37"/>
    </row>
    <row r="392">
      <c r="C392" s="37"/>
    </row>
    <row r="393">
      <c r="C393" s="37"/>
    </row>
    <row r="394">
      <c r="C394" s="37"/>
    </row>
    <row r="395">
      <c r="C395" s="37"/>
    </row>
    <row r="396">
      <c r="C396" s="37"/>
    </row>
    <row r="397">
      <c r="C397" s="37"/>
    </row>
    <row r="398">
      <c r="C398" s="37"/>
    </row>
    <row r="399">
      <c r="C399" s="37"/>
    </row>
    <row r="400">
      <c r="C400" s="37"/>
    </row>
    <row r="401">
      <c r="C401" s="37"/>
    </row>
    <row r="402">
      <c r="C402" s="37"/>
    </row>
    <row r="403">
      <c r="C403" s="37"/>
    </row>
    <row r="404">
      <c r="C404" s="37"/>
    </row>
    <row r="405">
      <c r="C405" s="37"/>
    </row>
    <row r="406">
      <c r="C406" s="37"/>
    </row>
    <row r="407">
      <c r="C407" s="37"/>
    </row>
    <row r="408">
      <c r="C408" s="37"/>
    </row>
    <row r="409">
      <c r="C409" s="37"/>
    </row>
    <row r="410">
      <c r="C410" s="37"/>
    </row>
    <row r="411">
      <c r="C411" s="37"/>
    </row>
    <row r="412">
      <c r="C412" s="37"/>
    </row>
    <row r="413">
      <c r="C413" s="37"/>
    </row>
    <row r="414">
      <c r="C414" s="37"/>
    </row>
    <row r="415">
      <c r="C415" s="37"/>
    </row>
    <row r="416">
      <c r="C416" s="37"/>
    </row>
    <row r="417">
      <c r="C417" s="37"/>
    </row>
    <row r="418">
      <c r="C418" s="37"/>
    </row>
    <row r="419">
      <c r="C419" s="37"/>
    </row>
    <row r="420">
      <c r="C420" s="37"/>
    </row>
    <row r="421">
      <c r="C421" s="37"/>
    </row>
    <row r="422">
      <c r="C422" s="37"/>
    </row>
    <row r="423">
      <c r="C423" s="37"/>
    </row>
    <row r="424">
      <c r="C424" s="37"/>
    </row>
    <row r="425">
      <c r="C425" s="37"/>
    </row>
    <row r="426">
      <c r="C426" s="37"/>
    </row>
    <row r="427">
      <c r="C427" s="37"/>
    </row>
    <row r="428">
      <c r="C428" s="37"/>
    </row>
    <row r="429">
      <c r="C429" s="37"/>
    </row>
    <row r="430">
      <c r="C430" s="37"/>
    </row>
    <row r="431">
      <c r="C431" s="37"/>
    </row>
    <row r="432">
      <c r="C432" s="37"/>
    </row>
    <row r="433">
      <c r="C433" s="37"/>
    </row>
    <row r="434">
      <c r="C434" s="37"/>
    </row>
    <row r="435">
      <c r="C435" s="37"/>
    </row>
    <row r="436">
      <c r="C436" s="37"/>
    </row>
    <row r="437">
      <c r="C437" s="37"/>
    </row>
    <row r="438">
      <c r="C438" s="37"/>
    </row>
    <row r="439">
      <c r="C439" s="37"/>
    </row>
    <row r="440">
      <c r="C440" s="37"/>
    </row>
    <row r="441">
      <c r="C441" s="37"/>
    </row>
    <row r="442">
      <c r="C442" s="37"/>
    </row>
    <row r="443">
      <c r="C443" s="37"/>
    </row>
    <row r="444">
      <c r="C444" s="37"/>
    </row>
    <row r="445">
      <c r="C445" s="37"/>
    </row>
    <row r="446">
      <c r="C446" s="37"/>
    </row>
    <row r="447">
      <c r="C447" s="37"/>
    </row>
    <row r="448">
      <c r="C448" s="37"/>
    </row>
    <row r="449">
      <c r="C449" s="37"/>
    </row>
    <row r="450">
      <c r="C450" s="37"/>
    </row>
    <row r="451">
      <c r="C451" s="37"/>
    </row>
    <row r="452">
      <c r="C452" s="37"/>
    </row>
    <row r="453">
      <c r="C453" s="37"/>
    </row>
    <row r="454">
      <c r="C454" s="37"/>
    </row>
    <row r="455">
      <c r="C455" s="37"/>
    </row>
    <row r="456">
      <c r="C456" s="37"/>
    </row>
    <row r="457">
      <c r="C457" s="37"/>
    </row>
    <row r="458">
      <c r="C458" s="37"/>
    </row>
    <row r="459">
      <c r="C459" s="37"/>
    </row>
    <row r="460">
      <c r="C460" s="37"/>
    </row>
    <row r="461">
      <c r="C461" s="37"/>
    </row>
    <row r="462">
      <c r="C462" s="37"/>
    </row>
    <row r="463">
      <c r="C463" s="37"/>
    </row>
    <row r="464">
      <c r="C464" s="37"/>
    </row>
    <row r="465">
      <c r="C465" s="37"/>
    </row>
    <row r="466">
      <c r="C466" s="37"/>
    </row>
    <row r="467">
      <c r="C467" s="37"/>
    </row>
    <row r="468">
      <c r="C468" s="37"/>
    </row>
    <row r="469">
      <c r="C469" s="37"/>
    </row>
    <row r="470">
      <c r="C470" s="37"/>
    </row>
    <row r="471">
      <c r="C471" s="37"/>
    </row>
    <row r="472">
      <c r="C472" s="37"/>
    </row>
    <row r="473">
      <c r="C473" s="37"/>
    </row>
    <row r="474">
      <c r="C474" s="37"/>
    </row>
    <row r="475">
      <c r="C475" s="37"/>
    </row>
    <row r="476">
      <c r="C476" s="37"/>
    </row>
    <row r="477">
      <c r="C477" s="37"/>
    </row>
    <row r="478">
      <c r="C478" s="37"/>
    </row>
    <row r="479">
      <c r="C479" s="37"/>
    </row>
    <row r="480">
      <c r="C480" s="37"/>
    </row>
    <row r="481">
      <c r="C481" s="37"/>
    </row>
    <row r="482">
      <c r="C482" s="37"/>
    </row>
    <row r="483">
      <c r="C483" s="37"/>
    </row>
    <row r="484">
      <c r="C484" s="37"/>
    </row>
    <row r="485">
      <c r="C485" s="37"/>
    </row>
    <row r="486">
      <c r="C486" s="37"/>
    </row>
    <row r="487">
      <c r="C487" s="37"/>
    </row>
    <row r="488">
      <c r="C488" s="37"/>
    </row>
    <row r="489">
      <c r="C489" s="37"/>
    </row>
    <row r="490">
      <c r="C490" s="37"/>
    </row>
    <row r="491">
      <c r="C491" s="37"/>
    </row>
    <row r="492">
      <c r="C492" s="37"/>
    </row>
    <row r="493">
      <c r="C493" s="37"/>
    </row>
    <row r="494">
      <c r="C494" s="37"/>
    </row>
    <row r="495">
      <c r="C495" s="37"/>
    </row>
    <row r="496">
      <c r="C496" s="37"/>
    </row>
    <row r="497">
      <c r="C497" s="37"/>
    </row>
    <row r="498">
      <c r="C498" s="37"/>
    </row>
    <row r="499">
      <c r="C499" s="37"/>
    </row>
    <row r="500">
      <c r="C500" s="37"/>
    </row>
    <row r="501">
      <c r="C501" s="37"/>
    </row>
    <row r="502">
      <c r="C502" s="37"/>
    </row>
    <row r="503">
      <c r="C503" s="37"/>
    </row>
    <row r="504">
      <c r="C504" s="37"/>
    </row>
    <row r="505">
      <c r="C505" s="37"/>
    </row>
    <row r="506">
      <c r="C506" s="37"/>
    </row>
    <row r="507">
      <c r="C507" s="37"/>
    </row>
    <row r="508">
      <c r="C508" s="37"/>
    </row>
    <row r="509">
      <c r="C509" s="37"/>
    </row>
    <row r="510">
      <c r="C510" s="37"/>
    </row>
    <row r="511">
      <c r="C511" s="37"/>
    </row>
    <row r="512">
      <c r="C512" s="37"/>
    </row>
    <row r="513">
      <c r="C513" s="37"/>
    </row>
    <row r="514">
      <c r="C514" s="37"/>
    </row>
    <row r="515">
      <c r="C515" s="37"/>
    </row>
    <row r="516">
      <c r="C516" s="37"/>
    </row>
    <row r="517">
      <c r="C517" s="37"/>
    </row>
    <row r="518">
      <c r="C518" s="37"/>
    </row>
    <row r="519">
      <c r="C519" s="37"/>
    </row>
    <row r="520">
      <c r="C520" s="37"/>
    </row>
    <row r="521">
      <c r="C521" s="37"/>
    </row>
    <row r="522">
      <c r="C522" s="37"/>
    </row>
    <row r="523">
      <c r="C523" s="37"/>
    </row>
    <row r="524">
      <c r="C524" s="37"/>
    </row>
    <row r="525">
      <c r="C525" s="37"/>
    </row>
    <row r="526">
      <c r="C526" s="37"/>
    </row>
    <row r="527">
      <c r="C527" s="37"/>
    </row>
    <row r="528">
      <c r="C528" s="37"/>
    </row>
    <row r="529">
      <c r="C529" s="37"/>
    </row>
    <row r="530">
      <c r="C530" s="37"/>
    </row>
    <row r="531">
      <c r="C531" s="37"/>
    </row>
    <row r="532">
      <c r="C532" s="37"/>
    </row>
    <row r="533">
      <c r="C533" s="37"/>
    </row>
    <row r="534">
      <c r="C534" s="37"/>
    </row>
    <row r="535">
      <c r="C535" s="37"/>
    </row>
    <row r="536">
      <c r="C536" s="37"/>
    </row>
    <row r="537">
      <c r="C537" s="37"/>
    </row>
    <row r="538">
      <c r="C538" s="37"/>
    </row>
    <row r="539">
      <c r="C539" s="37"/>
    </row>
    <row r="540">
      <c r="C540" s="37"/>
    </row>
    <row r="541">
      <c r="C541" s="37"/>
    </row>
    <row r="542">
      <c r="C542" s="37"/>
    </row>
    <row r="543">
      <c r="C543" s="37"/>
    </row>
    <row r="544">
      <c r="C544" s="37"/>
    </row>
    <row r="545">
      <c r="C545" s="37"/>
    </row>
    <row r="546">
      <c r="C546" s="37"/>
    </row>
    <row r="547">
      <c r="C547" s="37"/>
    </row>
    <row r="548">
      <c r="C548" s="37"/>
    </row>
    <row r="549">
      <c r="C549" s="37"/>
    </row>
    <row r="550">
      <c r="C550" s="37"/>
    </row>
    <row r="551">
      <c r="C551" s="37"/>
    </row>
    <row r="552">
      <c r="C552" s="37"/>
    </row>
    <row r="553">
      <c r="C553" s="37"/>
    </row>
    <row r="554">
      <c r="C554" s="37"/>
    </row>
    <row r="555">
      <c r="C555" s="37"/>
    </row>
    <row r="556">
      <c r="C556" s="37"/>
    </row>
    <row r="557">
      <c r="C557" s="37"/>
    </row>
    <row r="558">
      <c r="C558" s="37"/>
    </row>
    <row r="559">
      <c r="C559" s="37"/>
    </row>
    <row r="560">
      <c r="C560" s="37"/>
    </row>
    <row r="561">
      <c r="C561" s="37"/>
    </row>
    <row r="562">
      <c r="C562" s="37"/>
    </row>
    <row r="563">
      <c r="C563" s="37"/>
    </row>
    <row r="564">
      <c r="C564" s="37"/>
    </row>
    <row r="565">
      <c r="C565" s="37"/>
    </row>
    <row r="566">
      <c r="C566" s="37"/>
    </row>
    <row r="567">
      <c r="C567" s="37"/>
    </row>
    <row r="568">
      <c r="C568" s="37"/>
    </row>
    <row r="569">
      <c r="C569" s="37"/>
    </row>
    <row r="570">
      <c r="C570" s="37"/>
    </row>
    <row r="571">
      <c r="C571" s="37"/>
    </row>
    <row r="572">
      <c r="C572" s="37"/>
    </row>
    <row r="573">
      <c r="C573" s="37"/>
    </row>
    <row r="574">
      <c r="C574" s="37"/>
    </row>
    <row r="575">
      <c r="C575" s="37"/>
    </row>
    <row r="576">
      <c r="C576" s="37"/>
    </row>
    <row r="577">
      <c r="C577" s="37"/>
    </row>
    <row r="578">
      <c r="C578" s="37"/>
    </row>
    <row r="579">
      <c r="C579" s="37"/>
    </row>
    <row r="580">
      <c r="C580" s="37"/>
    </row>
    <row r="581">
      <c r="C581" s="37"/>
    </row>
    <row r="582">
      <c r="C582" s="37"/>
    </row>
    <row r="583">
      <c r="C583" s="37"/>
    </row>
    <row r="584">
      <c r="C584" s="37"/>
    </row>
    <row r="585">
      <c r="C585" s="37"/>
    </row>
    <row r="586">
      <c r="C586" s="37"/>
    </row>
    <row r="587">
      <c r="C587" s="37"/>
    </row>
    <row r="588">
      <c r="C588" s="37"/>
    </row>
    <row r="589">
      <c r="C589" s="37"/>
    </row>
    <row r="590">
      <c r="C590" s="37"/>
    </row>
    <row r="591">
      <c r="C591" s="37"/>
    </row>
    <row r="592">
      <c r="C592" s="37"/>
    </row>
    <row r="593">
      <c r="C593" s="37"/>
    </row>
    <row r="594">
      <c r="C594" s="37"/>
    </row>
    <row r="595">
      <c r="C595" s="37"/>
    </row>
    <row r="596">
      <c r="C596" s="37"/>
    </row>
    <row r="597">
      <c r="C597" s="37"/>
    </row>
    <row r="598">
      <c r="C598" s="37"/>
    </row>
    <row r="599">
      <c r="C599" s="37"/>
    </row>
    <row r="600">
      <c r="C600" s="37"/>
    </row>
    <row r="601">
      <c r="C601" s="37"/>
    </row>
    <row r="602">
      <c r="C602" s="37"/>
    </row>
    <row r="603">
      <c r="C603" s="37"/>
    </row>
    <row r="604">
      <c r="C604" s="37"/>
    </row>
    <row r="605">
      <c r="C605" s="37"/>
    </row>
    <row r="606">
      <c r="C606" s="37"/>
    </row>
    <row r="607">
      <c r="C607" s="37"/>
    </row>
    <row r="608">
      <c r="C608" s="37"/>
    </row>
    <row r="609">
      <c r="C609" s="37"/>
    </row>
    <row r="610">
      <c r="C610" s="37"/>
    </row>
    <row r="611">
      <c r="C611" s="37"/>
    </row>
    <row r="612">
      <c r="C612" s="37"/>
    </row>
    <row r="613">
      <c r="C613" s="37"/>
    </row>
    <row r="614">
      <c r="C614" s="37"/>
    </row>
    <row r="615">
      <c r="C615" s="37"/>
    </row>
    <row r="616">
      <c r="C616" s="37"/>
    </row>
    <row r="617">
      <c r="C617" s="37"/>
    </row>
    <row r="618">
      <c r="C618" s="37"/>
    </row>
    <row r="619">
      <c r="C619" s="37"/>
    </row>
    <row r="620">
      <c r="C620" s="37"/>
    </row>
    <row r="621">
      <c r="C621" s="37"/>
    </row>
    <row r="622">
      <c r="C622" s="37"/>
    </row>
    <row r="623">
      <c r="C623" s="37"/>
    </row>
    <row r="624">
      <c r="C624" s="37"/>
    </row>
    <row r="625">
      <c r="C625" s="37"/>
    </row>
    <row r="626">
      <c r="C626" s="37"/>
    </row>
    <row r="627">
      <c r="C627" s="37"/>
    </row>
    <row r="628">
      <c r="C628" s="37"/>
    </row>
    <row r="629">
      <c r="C629" s="37"/>
    </row>
    <row r="630">
      <c r="C630" s="37"/>
    </row>
    <row r="631">
      <c r="C631" s="37"/>
    </row>
    <row r="632">
      <c r="C632" s="37"/>
    </row>
    <row r="633">
      <c r="C633" s="37"/>
    </row>
    <row r="634">
      <c r="C634" s="37"/>
    </row>
    <row r="635">
      <c r="C635" s="37"/>
    </row>
    <row r="636">
      <c r="C636" s="37"/>
    </row>
    <row r="637">
      <c r="C637" s="37"/>
    </row>
    <row r="638">
      <c r="C638" s="37"/>
    </row>
    <row r="639">
      <c r="C639" s="37"/>
    </row>
    <row r="640">
      <c r="C640" s="37"/>
    </row>
    <row r="641">
      <c r="C641" s="37"/>
    </row>
    <row r="642">
      <c r="C642" s="37"/>
    </row>
    <row r="643">
      <c r="C643" s="37"/>
    </row>
    <row r="644">
      <c r="C644" s="37"/>
    </row>
    <row r="645">
      <c r="C645" s="37"/>
    </row>
    <row r="646">
      <c r="C646" s="37"/>
    </row>
    <row r="647">
      <c r="C647" s="37"/>
    </row>
    <row r="648">
      <c r="C648" s="37"/>
    </row>
    <row r="649">
      <c r="C649" s="37"/>
    </row>
    <row r="650">
      <c r="C650" s="37"/>
    </row>
    <row r="651">
      <c r="C651" s="37"/>
    </row>
    <row r="652">
      <c r="C652" s="37"/>
    </row>
    <row r="653">
      <c r="C653" s="37"/>
    </row>
    <row r="654">
      <c r="C654" s="37"/>
    </row>
    <row r="655">
      <c r="C655" s="37"/>
    </row>
    <row r="656">
      <c r="C656" s="37"/>
    </row>
    <row r="657">
      <c r="C657" s="37"/>
    </row>
    <row r="658">
      <c r="C658" s="37"/>
    </row>
    <row r="659">
      <c r="C659" s="37"/>
    </row>
    <row r="660">
      <c r="C660" s="37"/>
    </row>
    <row r="661">
      <c r="C661" s="37"/>
    </row>
    <row r="662">
      <c r="C662" s="37"/>
    </row>
    <row r="663">
      <c r="C663" s="37"/>
    </row>
    <row r="664">
      <c r="C664" s="37"/>
    </row>
    <row r="665">
      <c r="C665" s="37"/>
    </row>
    <row r="666">
      <c r="C666" s="37"/>
    </row>
    <row r="667">
      <c r="C667" s="37"/>
    </row>
    <row r="668">
      <c r="C668" s="37"/>
    </row>
    <row r="669">
      <c r="C669" s="37"/>
    </row>
    <row r="670">
      <c r="C670" s="37"/>
    </row>
    <row r="671">
      <c r="C671" s="37"/>
    </row>
    <row r="672">
      <c r="C672" s="37"/>
    </row>
    <row r="673">
      <c r="C673" s="37"/>
    </row>
    <row r="674">
      <c r="C674" s="37"/>
    </row>
    <row r="675">
      <c r="C675" s="37"/>
    </row>
    <row r="676">
      <c r="C676" s="37"/>
    </row>
    <row r="677">
      <c r="C677" s="37"/>
    </row>
    <row r="678">
      <c r="C678" s="37"/>
    </row>
    <row r="679">
      <c r="C679" s="37"/>
    </row>
    <row r="680">
      <c r="C680" s="37"/>
    </row>
    <row r="681">
      <c r="C681" s="37"/>
    </row>
    <row r="682">
      <c r="C682" s="37"/>
    </row>
    <row r="683">
      <c r="C683" s="37"/>
    </row>
    <row r="684">
      <c r="C684" s="37"/>
    </row>
    <row r="685">
      <c r="C685" s="37"/>
    </row>
    <row r="686">
      <c r="C686" s="37"/>
    </row>
    <row r="687">
      <c r="C687" s="37"/>
    </row>
    <row r="688">
      <c r="C688" s="37"/>
    </row>
    <row r="689">
      <c r="C689" s="37"/>
    </row>
    <row r="690">
      <c r="C690" s="37"/>
    </row>
    <row r="691">
      <c r="C691" s="37"/>
    </row>
    <row r="692">
      <c r="C692" s="37"/>
    </row>
    <row r="693">
      <c r="C693" s="37"/>
    </row>
    <row r="694">
      <c r="C694" s="37"/>
    </row>
    <row r="695">
      <c r="C695" s="37"/>
    </row>
    <row r="696">
      <c r="C696" s="37"/>
    </row>
    <row r="697">
      <c r="C697" s="37"/>
    </row>
    <row r="698">
      <c r="C698" s="37"/>
    </row>
    <row r="699">
      <c r="C699" s="37"/>
    </row>
    <row r="700">
      <c r="C700" s="37"/>
    </row>
    <row r="701">
      <c r="C701" s="37"/>
    </row>
    <row r="702">
      <c r="C702" s="37"/>
    </row>
    <row r="703">
      <c r="C703" s="37"/>
    </row>
    <row r="704">
      <c r="C704" s="37"/>
    </row>
    <row r="705">
      <c r="C705" s="37"/>
    </row>
    <row r="706">
      <c r="C706" s="37"/>
    </row>
    <row r="707">
      <c r="C707" s="37"/>
    </row>
    <row r="708">
      <c r="C708" s="37"/>
    </row>
    <row r="709">
      <c r="C709" s="37"/>
    </row>
    <row r="710">
      <c r="C710" s="37"/>
    </row>
    <row r="711">
      <c r="C711" s="37"/>
    </row>
    <row r="712">
      <c r="C712" s="37"/>
    </row>
    <row r="713">
      <c r="C713" s="37"/>
    </row>
    <row r="714">
      <c r="C714" s="37"/>
    </row>
    <row r="715">
      <c r="C715" s="37"/>
    </row>
    <row r="716">
      <c r="C716" s="37"/>
    </row>
    <row r="717">
      <c r="C717" s="37"/>
    </row>
    <row r="718">
      <c r="C718" s="37"/>
    </row>
    <row r="719">
      <c r="C719" s="37"/>
    </row>
    <row r="720">
      <c r="C720" s="37"/>
    </row>
    <row r="721">
      <c r="C721" s="37"/>
    </row>
    <row r="722">
      <c r="C722" s="37"/>
    </row>
    <row r="723">
      <c r="C723" s="37"/>
    </row>
    <row r="724">
      <c r="C724" s="37"/>
    </row>
    <row r="725">
      <c r="C725" s="37"/>
    </row>
    <row r="726">
      <c r="C726" s="37"/>
    </row>
    <row r="727">
      <c r="C727" s="37"/>
    </row>
    <row r="728">
      <c r="C728" s="37"/>
    </row>
    <row r="729">
      <c r="C729" s="37"/>
    </row>
    <row r="730">
      <c r="C730" s="37"/>
    </row>
    <row r="731">
      <c r="C731" s="37"/>
    </row>
    <row r="732">
      <c r="C732" s="37"/>
    </row>
    <row r="733">
      <c r="C733" s="37"/>
    </row>
    <row r="734">
      <c r="C734" s="37"/>
    </row>
    <row r="735">
      <c r="C735" s="37"/>
    </row>
    <row r="736">
      <c r="C736" s="37"/>
    </row>
    <row r="737">
      <c r="C737" s="37"/>
    </row>
    <row r="738">
      <c r="C738" s="37"/>
    </row>
    <row r="739">
      <c r="C739" s="37"/>
    </row>
    <row r="740">
      <c r="C740" s="37"/>
    </row>
    <row r="741">
      <c r="C741" s="37"/>
    </row>
    <row r="742">
      <c r="C742" s="37"/>
    </row>
    <row r="743">
      <c r="C743" s="37"/>
    </row>
    <row r="744">
      <c r="C744" s="37"/>
    </row>
    <row r="745">
      <c r="C745" s="37"/>
    </row>
    <row r="746">
      <c r="C746" s="37"/>
    </row>
    <row r="747">
      <c r="C747" s="37"/>
    </row>
    <row r="748">
      <c r="C748" s="37"/>
    </row>
    <row r="749">
      <c r="C749" s="37"/>
    </row>
    <row r="750">
      <c r="C750" s="37"/>
    </row>
    <row r="751">
      <c r="C751" s="37"/>
    </row>
    <row r="752">
      <c r="C752" s="37"/>
    </row>
    <row r="753">
      <c r="C753" s="37"/>
    </row>
    <row r="754">
      <c r="C754" s="37"/>
    </row>
    <row r="755">
      <c r="C755" s="37"/>
    </row>
    <row r="756">
      <c r="C756" s="37"/>
    </row>
    <row r="757">
      <c r="C757" s="37"/>
    </row>
    <row r="758">
      <c r="C758" s="37"/>
    </row>
    <row r="759">
      <c r="C759" s="37"/>
    </row>
    <row r="760">
      <c r="C760" s="37"/>
    </row>
    <row r="761">
      <c r="C761" s="37"/>
    </row>
    <row r="762">
      <c r="C762" s="37"/>
    </row>
    <row r="763">
      <c r="C763" s="37"/>
    </row>
    <row r="764">
      <c r="C764" s="37"/>
    </row>
    <row r="765">
      <c r="C765" s="37"/>
    </row>
    <row r="766">
      <c r="C766" s="37"/>
    </row>
    <row r="767">
      <c r="C767" s="37"/>
    </row>
    <row r="768">
      <c r="C768" s="37"/>
    </row>
    <row r="769">
      <c r="C769" s="37"/>
    </row>
    <row r="770">
      <c r="C770" s="37"/>
    </row>
    <row r="771">
      <c r="C771" s="37"/>
    </row>
    <row r="772">
      <c r="C772" s="37"/>
    </row>
    <row r="773">
      <c r="C773" s="37"/>
    </row>
    <row r="774">
      <c r="C774" s="37"/>
    </row>
    <row r="775">
      <c r="C775" s="37"/>
    </row>
    <row r="776">
      <c r="C776" s="37"/>
    </row>
    <row r="777">
      <c r="C777" s="37"/>
    </row>
    <row r="778">
      <c r="C778" s="37"/>
    </row>
    <row r="779">
      <c r="C779" s="37"/>
    </row>
    <row r="780">
      <c r="C780" s="37"/>
    </row>
    <row r="781">
      <c r="C781" s="37"/>
    </row>
    <row r="782">
      <c r="C782" s="37"/>
    </row>
    <row r="783">
      <c r="C783" s="37"/>
    </row>
    <row r="784">
      <c r="C784" s="37"/>
    </row>
    <row r="785">
      <c r="C785" s="37"/>
    </row>
    <row r="786">
      <c r="C786" s="37"/>
    </row>
    <row r="787">
      <c r="C787" s="37"/>
    </row>
    <row r="788">
      <c r="C788" s="37"/>
    </row>
    <row r="789">
      <c r="C789" s="37"/>
    </row>
    <row r="790">
      <c r="C790" s="37"/>
    </row>
    <row r="791">
      <c r="C791" s="37"/>
    </row>
    <row r="792">
      <c r="C792" s="37"/>
    </row>
    <row r="793">
      <c r="C793" s="37"/>
    </row>
    <row r="794">
      <c r="C794" s="37"/>
    </row>
    <row r="795">
      <c r="C795" s="37"/>
    </row>
    <row r="796">
      <c r="C796" s="37"/>
    </row>
    <row r="797">
      <c r="C797" s="37"/>
    </row>
    <row r="798">
      <c r="C798" s="37"/>
    </row>
    <row r="799">
      <c r="C799" s="37"/>
    </row>
    <row r="800">
      <c r="C800" s="37"/>
    </row>
    <row r="801">
      <c r="C801" s="37"/>
    </row>
    <row r="802">
      <c r="C802" s="37"/>
    </row>
    <row r="803">
      <c r="C803" s="37"/>
    </row>
    <row r="804">
      <c r="C804" s="37"/>
    </row>
    <row r="805">
      <c r="C805" s="37"/>
    </row>
    <row r="806">
      <c r="C806" s="37"/>
    </row>
    <row r="807">
      <c r="C807" s="37"/>
    </row>
    <row r="808">
      <c r="C808" s="37"/>
    </row>
    <row r="809">
      <c r="C809" s="37"/>
    </row>
    <row r="810">
      <c r="C810" s="37"/>
    </row>
    <row r="811">
      <c r="C811" s="37"/>
    </row>
    <row r="812">
      <c r="C812" s="37"/>
    </row>
    <row r="813">
      <c r="C813" s="37"/>
    </row>
    <row r="814">
      <c r="C814" s="37"/>
    </row>
    <row r="815">
      <c r="C815" s="37"/>
    </row>
    <row r="816">
      <c r="C816" s="37"/>
    </row>
    <row r="817">
      <c r="C817" s="37"/>
    </row>
    <row r="818">
      <c r="C818" s="37"/>
    </row>
    <row r="819">
      <c r="C819" s="37"/>
    </row>
    <row r="820">
      <c r="C820" s="37"/>
    </row>
    <row r="821">
      <c r="C821" s="37"/>
    </row>
    <row r="822">
      <c r="C822" s="37"/>
    </row>
    <row r="823">
      <c r="C823" s="37"/>
    </row>
    <row r="824">
      <c r="C824" s="37"/>
    </row>
    <row r="825">
      <c r="C825" s="37"/>
    </row>
    <row r="826">
      <c r="C826" s="37"/>
    </row>
    <row r="827">
      <c r="C827" s="37"/>
    </row>
    <row r="828">
      <c r="C828" s="37"/>
    </row>
    <row r="829">
      <c r="C829" s="37"/>
    </row>
    <row r="830">
      <c r="C830" s="37"/>
    </row>
    <row r="831">
      <c r="C831" s="37"/>
    </row>
    <row r="832">
      <c r="C832" s="37"/>
    </row>
    <row r="833">
      <c r="C833" s="37"/>
    </row>
    <row r="834">
      <c r="C834" s="37"/>
    </row>
    <row r="835">
      <c r="C835" s="37"/>
    </row>
    <row r="836">
      <c r="C836" s="37"/>
    </row>
    <row r="837">
      <c r="C837" s="37"/>
    </row>
    <row r="838">
      <c r="C838" s="37"/>
    </row>
    <row r="839">
      <c r="C839" s="37"/>
    </row>
    <row r="840">
      <c r="C840" s="37"/>
    </row>
    <row r="841">
      <c r="C841" s="37"/>
    </row>
    <row r="842">
      <c r="C842" s="37"/>
    </row>
    <row r="843">
      <c r="C843" s="37"/>
    </row>
    <row r="844">
      <c r="C844" s="37"/>
    </row>
    <row r="845">
      <c r="C845" s="37"/>
    </row>
    <row r="846">
      <c r="C846" s="37"/>
    </row>
    <row r="847">
      <c r="C847" s="37"/>
    </row>
    <row r="848">
      <c r="C848" s="37"/>
    </row>
    <row r="849">
      <c r="C849" s="37"/>
    </row>
    <row r="850">
      <c r="C850" s="37"/>
    </row>
    <row r="851">
      <c r="C851" s="37"/>
    </row>
    <row r="852">
      <c r="C852" s="37"/>
    </row>
    <row r="853">
      <c r="C853" s="37"/>
    </row>
    <row r="854">
      <c r="C854" s="37"/>
    </row>
    <row r="855">
      <c r="C855" s="37"/>
    </row>
    <row r="856">
      <c r="C856" s="37"/>
    </row>
    <row r="857">
      <c r="C857" s="37"/>
    </row>
    <row r="858">
      <c r="C858" s="37"/>
    </row>
    <row r="859">
      <c r="C859" s="37"/>
    </row>
    <row r="860">
      <c r="C860" s="37"/>
    </row>
    <row r="861">
      <c r="C861" s="37"/>
    </row>
    <row r="862">
      <c r="C862" s="37"/>
    </row>
    <row r="863">
      <c r="C863" s="37"/>
    </row>
    <row r="864">
      <c r="C864" s="37"/>
    </row>
    <row r="865">
      <c r="C865" s="37"/>
    </row>
    <row r="866">
      <c r="C866" s="37"/>
    </row>
    <row r="867">
      <c r="C867" s="37"/>
    </row>
    <row r="868">
      <c r="C868" s="37"/>
    </row>
    <row r="869">
      <c r="C869" s="37"/>
    </row>
    <row r="870">
      <c r="C870" s="37"/>
    </row>
    <row r="871">
      <c r="C871" s="37"/>
    </row>
    <row r="872">
      <c r="C872" s="37"/>
    </row>
    <row r="873">
      <c r="C873" s="37"/>
    </row>
    <row r="874">
      <c r="C874" s="37"/>
    </row>
    <row r="875">
      <c r="C875" s="37"/>
    </row>
    <row r="876">
      <c r="C876" s="37"/>
    </row>
    <row r="877">
      <c r="C877" s="37"/>
    </row>
    <row r="878">
      <c r="C878" s="37"/>
    </row>
    <row r="879">
      <c r="C879" s="37"/>
    </row>
    <row r="880">
      <c r="C880" s="37"/>
    </row>
    <row r="881">
      <c r="C881" s="37"/>
    </row>
    <row r="882">
      <c r="C882" s="37"/>
    </row>
    <row r="883">
      <c r="C883" s="37"/>
    </row>
    <row r="884">
      <c r="C884" s="37"/>
    </row>
    <row r="885">
      <c r="C885" s="37"/>
    </row>
    <row r="886">
      <c r="C886" s="37"/>
    </row>
    <row r="887">
      <c r="C887" s="37"/>
    </row>
    <row r="888">
      <c r="C888" s="37"/>
    </row>
    <row r="889">
      <c r="C889" s="37"/>
    </row>
    <row r="890">
      <c r="C890" s="37"/>
    </row>
    <row r="891">
      <c r="C891" s="37"/>
    </row>
    <row r="892">
      <c r="C892" s="37"/>
    </row>
    <row r="893">
      <c r="C893" s="37"/>
    </row>
    <row r="894">
      <c r="C894" s="37"/>
    </row>
    <row r="895">
      <c r="C895" s="37"/>
    </row>
    <row r="896">
      <c r="C896" s="37"/>
    </row>
    <row r="897">
      <c r="C897" s="37"/>
    </row>
    <row r="898">
      <c r="C898" s="37"/>
    </row>
    <row r="899">
      <c r="C899" s="37"/>
    </row>
    <row r="900">
      <c r="C900" s="37"/>
    </row>
    <row r="901">
      <c r="C901" s="37"/>
    </row>
    <row r="902">
      <c r="C902" s="37"/>
    </row>
    <row r="903">
      <c r="C903" s="37"/>
    </row>
    <row r="904">
      <c r="C904" s="37"/>
    </row>
    <row r="905">
      <c r="C905" s="37"/>
    </row>
    <row r="906">
      <c r="C906" s="37"/>
    </row>
    <row r="907">
      <c r="C907" s="37"/>
    </row>
    <row r="908">
      <c r="C908" s="37"/>
    </row>
    <row r="909">
      <c r="C909" s="37"/>
    </row>
    <row r="910">
      <c r="C910" s="37"/>
    </row>
    <row r="911">
      <c r="C911" s="37"/>
    </row>
    <row r="912">
      <c r="C912" s="37"/>
    </row>
    <row r="913">
      <c r="C913" s="37"/>
    </row>
    <row r="914">
      <c r="C914" s="37"/>
    </row>
    <row r="915">
      <c r="C915" s="37"/>
    </row>
    <row r="916">
      <c r="C916" s="37"/>
    </row>
    <row r="917">
      <c r="C917" s="37"/>
    </row>
    <row r="918">
      <c r="C918" s="37"/>
    </row>
    <row r="919">
      <c r="C919" s="37"/>
    </row>
    <row r="920">
      <c r="C920" s="37"/>
    </row>
    <row r="921">
      <c r="C921" s="37"/>
    </row>
    <row r="922">
      <c r="C922" s="37"/>
    </row>
    <row r="923">
      <c r="C923" s="37"/>
    </row>
    <row r="924">
      <c r="C924" s="37"/>
    </row>
    <row r="925">
      <c r="C925" s="37"/>
    </row>
    <row r="926">
      <c r="C926" s="37"/>
    </row>
    <row r="927">
      <c r="C927" s="37"/>
    </row>
    <row r="928">
      <c r="C928" s="37"/>
    </row>
    <row r="929">
      <c r="C929" s="37"/>
    </row>
    <row r="930">
      <c r="C930" s="37"/>
    </row>
    <row r="931">
      <c r="C931" s="37"/>
    </row>
    <row r="932">
      <c r="C932" s="37"/>
    </row>
    <row r="933">
      <c r="C933" s="37"/>
    </row>
    <row r="934">
      <c r="C934" s="37"/>
    </row>
    <row r="935">
      <c r="C935" s="37"/>
    </row>
    <row r="936">
      <c r="C936" s="37"/>
    </row>
    <row r="937">
      <c r="C937" s="37"/>
    </row>
    <row r="938">
      <c r="C938" s="37"/>
    </row>
    <row r="939">
      <c r="C939" s="37"/>
    </row>
    <row r="940">
      <c r="C940" s="37"/>
    </row>
    <row r="941">
      <c r="C941" s="37"/>
    </row>
    <row r="942">
      <c r="C942" s="37"/>
    </row>
    <row r="943">
      <c r="C943" s="37"/>
    </row>
    <row r="944">
      <c r="C944" s="37"/>
    </row>
    <row r="945">
      <c r="C945" s="37"/>
    </row>
    <row r="946">
      <c r="C946" s="37"/>
    </row>
    <row r="947">
      <c r="C947" s="37"/>
    </row>
    <row r="948">
      <c r="C948" s="37"/>
    </row>
    <row r="949">
      <c r="C949" s="37"/>
    </row>
    <row r="950">
      <c r="C950" s="37"/>
    </row>
    <row r="951">
      <c r="C951" s="37"/>
    </row>
    <row r="952">
      <c r="C952" s="37"/>
    </row>
    <row r="953">
      <c r="C953" s="37"/>
    </row>
    <row r="954">
      <c r="C954" s="37"/>
    </row>
    <row r="955">
      <c r="C955" s="37"/>
    </row>
    <row r="956">
      <c r="C956" s="37"/>
    </row>
    <row r="957">
      <c r="C957" s="37"/>
    </row>
    <row r="958">
      <c r="C958" s="37"/>
    </row>
    <row r="959">
      <c r="C959" s="37"/>
    </row>
    <row r="960">
      <c r="C960" s="37"/>
    </row>
    <row r="961">
      <c r="C961" s="37"/>
    </row>
    <row r="962">
      <c r="C962" s="37"/>
    </row>
    <row r="963">
      <c r="C963" s="37"/>
    </row>
    <row r="964">
      <c r="C964" s="37"/>
    </row>
    <row r="965">
      <c r="C965" s="37"/>
    </row>
    <row r="966">
      <c r="C966" s="37"/>
    </row>
    <row r="967">
      <c r="C967" s="37"/>
    </row>
    <row r="968">
      <c r="C968" s="37"/>
    </row>
    <row r="969">
      <c r="C969" s="37"/>
    </row>
    <row r="970">
      <c r="C970" s="37"/>
    </row>
    <row r="971">
      <c r="C971" s="37"/>
    </row>
    <row r="972">
      <c r="C972" s="37"/>
    </row>
    <row r="973">
      <c r="C973" s="37"/>
    </row>
    <row r="974">
      <c r="C974" s="37"/>
    </row>
    <row r="975">
      <c r="C975" s="37"/>
    </row>
    <row r="976">
      <c r="C976" s="37"/>
    </row>
    <row r="977">
      <c r="C977" s="37"/>
    </row>
    <row r="978">
      <c r="C978" s="37"/>
    </row>
    <row r="979">
      <c r="C979" s="37"/>
    </row>
    <row r="980">
      <c r="C980" s="37"/>
    </row>
    <row r="981">
      <c r="C981" s="37"/>
    </row>
    <row r="982">
      <c r="C982" s="37"/>
    </row>
    <row r="983">
      <c r="C983" s="37"/>
    </row>
    <row r="984">
      <c r="C984" s="37"/>
    </row>
    <row r="985">
      <c r="C985" s="37"/>
    </row>
    <row r="986">
      <c r="C986" s="37"/>
    </row>
    <row r="987">
      <c r="C987" s="37"/>
    </row>
    <row r="988">
      <c r="C988" s="37"/>
    </row>
    <row r="989">
      <c r="C989" s="37"/>
    </row>
    <row r="990">
      <c r="C990" s="37"/>
    </row>
    <row r="991">
      <c r="C991" s="37"/>
    </row>
    <row r="992">
      <c r="C992" s="37"/>
    </row>
    <row r="993">
      <c r="C993" s="37"/>
    </row>
    <row r="994">
      <c r="C994" s="37"/>
    </row>
    <row r="995">
      <c r="C995" s="37"/>
    </row>
    <row r="996">
      <c r="C996" s="37"/>
    </row>
    <row r="997">
      <c r="C997" s="37"/>
    </row>
    <row r="998">
      <c r="C998" s="37"/>
    </row>
    <row r="999">
      <c r="C999" s="37"/>
    </row>
    <row r="1000">
      <c r="C1000" s="37"/>
    </row>
    <row r="1001">
      <c r="C1001" s="37"/>
    </row>
    <row r="1002">
      <c r="C1002" s="37"/>
    </row>
    <row r="1003">
      <c r="C1003" s="37"/>
    </row>
    <row r="1004">
      <c r="C1004" s="37"/>
    </row>
    <row r="1005">
      <c r="C1005" s="37"/>
    </row>
    <row r="1006">
      <c r="C1006" s="37"/>
    </row>
    <row r="1007">
      <c r="C1007" s="37"/>
    </row>
    <row r="1008">
      <c r="C1008" s="37"/>
    </row>
    <row r="1009">
      <c r="C1009" s="37"/>
    </row>
    <row r="1010">
      <c r="C1010" s="37"/>
    </row>
    <row r="1011">
      <c r="C1011" s="37"/>
    </row>
    <row r="1012">
      <c r="C1012" s="37"/>
    </row>
    <row r="1013">
      <c r="C1013" s="37"/>
    </row>
    <row r="1014">
      <c r="C1014" s="37"/>
    </row>
    <row r="1015">
      <c r="C1015" s="37"/>
    </row>
    <row r="1016">
      <c r="C1016" s="37"/>
    </row>
    <row r="1017">
      <c r="C1017" s="37"/>
    </row>
    <row r="1018">
      <c r="C1018" s="37"/>
    </row>
    <row r="1019">
      <c r="C1019" s="37"/>
    </row>
    <row r="1020">
      <c r="C1020" s="37"/>
    </row>
    <row r="1021">
      <c r="C1021" s="37"/>
    </row>
    <row r="1022">
      <c r="C1022" s="37"/>
    </row>
    <row r="1023">
      <c r="C1023" s="3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  <col customWidth="1" min="2" max="2" width="30.0"/>
    <col customWidth="1" min="3" max="3" width="23.63"/>
    <col customWidth="1" min="4" max="5" width="24.13"/>
    <col customWidth="1" min="7" max="7" width="36.25"/>
  </cols>
  <sheetData>
    <row r="1">
      <c r="A1" s="1" t="s">
        <v>0</v>
      </c>
      <c r="B1" s="1" t="s">
        <v>47</v>
      </c>
      <c r="C1" s="1" t="s">
        <v>1</v>
      </c>
      <c r="D1" s="2" t="s">
        <v>2</v>
      </c>
      <c r="E1" s="2" t="s">
        <v>3</v>
      </c>
      <c r="F1" s="38"/>
      <c r="G1" s="38"/>
      <c r="H1" s="38"/>
      <c r="I1" s="38"/>
    </row>
    <row r="2">
      <c r="A2" s="39" t="s">
        <v>48</v>
      </c>
      <c r="B2" s="40" t="s">
        <v>72</v>
      </c>
      <c r="C2" s="41">
        <v>100000.0</v>
      </c>
      <c r="D2" s="42">
        <v>45992.0</v>
      </c>
      <c r="E2" s="4" t="s">
        <v>10</v>
      </c>
      <c r="F2" s="38"/>
      <c r="G2" s="38"/>
      <c r="H2" s="38"/>
      <c r="I2" s="38"/>
    </row>
    <row r="3">
      <c r="A3" s="46" t="s">
        <v>73</v>
      </c>
      <c r="B3" s="43" t="s">
        <v>74</v>
      </c>
      <c r="C3" s="44">
        <v>1000.0</v>
      </c>
      <c r="D3" s="42">
        <v>45992.0</v>
      </c>
      <c r="E3" s="4" t="s">
        <v>10</v>
      </c>
      <c r="F3" s="38"/>
      <c r="G3" s="38"/>
      <c r="H3" s="38"/>
      <c r="I3" s="38"/>
    </row>
    <row r="4">
      <c r="A4" s="43" t="s">
        <v>75</v>
      </c>
      <c r="B4" s="46" t="s">
        <v>76</v>
      </c>
      <c r="C4" s="44">
        <v>3000.0</v>
      </c>
      <c r="D4" s="42">
        <v>45995.0</v>
      </c>
      <c r="E4" s="4" t="s">
        <v>10</v>
      </c>
      <c r="F4" s="38"/>
      <c r="G4" s="38"/>
      <c r="H4" s="38"/>
      <c r="I4" s="38"/>
    </row>
    <row r="5">
      <c r="A5" s="54" t="s">
        <v>77</v>
      </c>
      <c r="B5" s="46" t="s">
        <v>78</v>
      </c>
      <c r="C5" s="44">
        <v>22170.0</v>
      </c>
      <c r="D5" s="42">
        <v>45997.0</v>
      </c>
      <c r="E5" s="4" t="s">
        <v>10</v>
      </c>
      <c r="F5" s="38"/>
      <c r="G5" s="33"/>
      <c r="H5" s="64">
        <v>1351958.71</v>
      </c>
      <c r="I5" s="38"/>
    </row>
    <row r="6">
      <c r="A6" s="43" t="s">
        <v>79</v>
      </c>
      <c r="B6" s="43" t="s">
        <v>80</v>
      </c>
      <c r="C6" s="44">
        <v>51800.0</v>
      </c>
      <c r="D6" s="42">
        <v>45997.0</v>
      </c>
      <c r="E6" s="4" t="s">
        <v>10</v>
      </c>
      <c r="F6" s="38"/>
      <c r="G6" s="15"/>
      <c r="H6" s="50">
        <v>-0.06</v>
      </c>
      <c r="I6" s="38"/>
    </row>
    <row r="7">
      <c r="A7" s="43" t="s">
        <v>79</v>
      </c>
      <c r="B7" s="43" t="s">
        <v>80</v>
      </c>
      <c r="C7" s="44">
        <v>51800.0</v>
      </c>
      <c r="D7" s="42">
        <v>45997.0</v>
      </c>
      <c r="E7" s="4" t="s">
        <v>7</v>
      </c>
      <c r="F7" s="38"/>
      <c r="G7" s="15"/>
      <c r="H7" s="51">
        <v>1270841.19</v>
      </c>
      <c r="I7" s="38"/>
    </row>
    <row r="8">
      <c r="A8" s="54" t="s">
        <v>81</v>
      </c>
      <c r="B8" s="46" t="s">
        <v>82</v>
      </c>
      <c r="C8" s="44">
        <v>15079.0</v>
      </c>
      <c r="D8" s="42">
        <v>45997.0</v>
      </c>
      <c r="E8" s="8" t="s">
        <v>83</v>
      </c>
      <c r="F8" s="38"/>
      <c r="G8" s="38"/>
      <c r="H8" s="51"/>
      <c r="I8" s="38"/>
    </row>
    <row r="9">
      <c r="A9" s="54" t="s">
        <v>84</v>
      </c>
      <c r="B9" s="46" t="s">
        <v>85</v>
      </c>
      <c r="C9" s="53">
        <v>43020.0</v>
      </c>
      <c r="D9" s="49">
        <v>45999.0</v>
      </c>
      <c r="E9" s="8" t="s">
        <v>10</v>
      </c>
      <c r="F9" s="38"/>
      <c r="G9" s="38"/>
      <c r="H9" s="15"/>
      <c r="I9" s="38"/>
    </row>
    <row r="10">
      <c r="A10" s="46" t="s">
        <v>77</v>
      </c>
      <c r="B10" s="46" t="s">
        <v>86</v>
      </c>
      <c r="C10" s="53">
        <v>6290.0</v>
      </c>
      <c r="D10" s="49">
        <v>45999.0</v>
      </c>
      <c r="E10" s="8" t="s">
        <v>87</v>
      </c>
      <c r="F10" s="38"/>
      <c r="G10" s="38"/>
      <c r="H10" s="15"/>
      <c r="I10" s="38"/>
    </row>
    <row r="11">
      <c r="A11" s="48" t="s">
        <v>88</v>
      </c>
      <c r="B11" s="46" t="s">
        <v>89</v>
      </c>
      <c r="C11" s="44">
        <v>89235.0</v>
      </c>
      <c r="D11" s="49">
        <v>45999.0</v>
      </c>
      <c r="E11" s="8" t="s">
        <v>90</v>
      </c>
      <c r="F11" s="38"/>
      <c r="G11" s="38"/>
      <c r="H11" s="38"/>
      <c r="I11" s="38"/>
    </row>
    <row r="12">
      <c r="A12" s="48" t="s">
        <v>91</v>
      </c>
      <c r="B12" s="46" t="s">
        <v>92</v>
      </c>
      <c r="C12" s="44">
        <v>45504.0</v>
      </c>
      <c r="D12" s="49">
        <v>45999.0</v>
      </c>
      <c r="E12" s="8" t="s">
        <v>93</v>
      </c>
      <c r="F12" s="38"/>
      <c r="G12" s="38"/>
      <c r="H12" s="38"/>
      <c r="I12" s="38"/>
    </row>
    <row r="13">
      <c r="A13" s="52" t="s">
        <v>94</v>
      </c>
      <c r="B13" s="46" t="s">
        <v>95</v>
      </c>
      <c r="C13" s="44">
        <v>11908.4</v>
      </c>
      <c r="D13" s="56">
        <v>46000.0</v>
      </c>
      <c r="E13" s="8" t="s">
        <v>10</v>
      </c>
      <c r="F13" s="38"/>
      <c r="G13" s="57">
        <f>C2+C5+C8+C9+C11+C12+C19+C20+C22+C24+C31+C32+C40</f>
        <v>1056682.69</v>
      </c>
      <c r="H13" s="15" t="s">
        <v>19</v>
      </c>
      <c r="I13" s="38"/>
    </row>
    <row r="14">
      <c r="A14" s="55" t="s">
        <v>96</v>
      </c>
      <c r="B14" s="43" t="s">
        <v>97</v>
      </c>
      <c r="C14" s="44">
        <v>32000.0</v>
      </c>
      <c r="D14" s="56">
        <v>46000.0</v>
      </c>
      <c r="E14" s="8" t="s">
        <v>10</v>
      </c>
      <c r="F14" s="38"/>
      <c r="G14" s="57">
        <f>C14+C15+C21+C23+C25+C26+C27+C33+C34+C35+C39</f>
        <v>312580</v>
      </c>
      <c r="H14" s="15" t="s">
        <v>21</v>
      </c>
      <c r="I14" s="38"/>
    </row>
    <row r="15">
      <c r="A15" s="59" t="s">
        <v>98</v>
      </c>
      <c r="B15" s="46" t="s">
        <v>97</v>
      </c>
      <c r="C15" s="44">
        <v>11900.0</v>
      </c>
      <c r="D15" s="56">
        <v>46000.0</v>
      </c>
      <c r="E15" s="8" t="s">
        <v>10</v>
      </c>
      <c r="F15" s="38"/>
      <c r="G15" s="57">
        <f>C3+C4+C6+C7+C10+C16+C17+C29+C30+C36+C37</f>
        <v>224090</v>
      </c>
      <c r="H15" s="21" t="s">
        <v>23</v>
      </c>
      <c r="I15" s="38"/>
    </row>
    <row r="16">
      <c r="A16" s="46" t="s">
        <v>99</v>
      </c>
      <c r="B16" s="46" t="s">
        <v>100</v>
      </c>
      <c r="C16" s="44">
        <v>10000.0</v>
      </c>
      <c r="D16" s="56">
        <v>46001.0</v>
      </c>
      <c r="E16" s="8" t="s">
        <v>10</v>
      </c>
      <c r="F16" s="38"/>
      <c r="G16" s="57">
        <f>C41+C42+C43+C18</f>
        <v>34311.6</v>
      </c>
      <c r="H16" s="15" t="s">
        <v>25</v>
      </c>
      <c r="I16" s="38"/>
    </row>
    <row r="17">
      <c r="A17" s="46" t="s">
        <v>101</v>
      </c>
      <c r="B17" s="46" t="s">
        <v>102</v>
      </c>
      <c r="C17" s="44">
        <v>35000.0</v>
      </c>
      <c r="D17" s="56">
        <v>46001.0</v>
      </c>
      <c r="E17" s="8" t="s">
        <v>10</v>
      </c>
      <c r="F17" s="38"/>
      <c r="G17" s="57">
        <f>C13+C28+C38+C44</f>
        <v>103696.49</v>
      </c>
      <c r="H17" s="15" t="s">
        <v>28</v>
      </c>
      <c r="I17" s="38"/>
      <c r="J17" s="58">
        <f>G17-C44</f>
        <v>22578.97</v>
      </c>
    </row>
    <row r="18">
      <c r="A18" s="65" t="s">
        <v>103</v>
      </c>
      <c r="B18" s="43" t="s">
        <v>104</v>
      </c>
      <c r="C18" s="44">
        <v>3000.0</v>
      </c>
      <c r="D18" s="49">
        <v>46002.0</v>
      </c>
      <c r="E18" s="8" t="s">
        <v>10</v>
      </c>
      <c r="F18" s="38"/>
      <c r="G18" s="57">
        <f>SUM(G13:G17)</f>
        <v>1731360.78</v>
      </c>
      <c r="H18" s="38"/>
      <c r="I18" s="38"/>
    </row>
    <row r="19">
      <c r="A19" s="48" t="s">
        <v>105</v>
      </c>
      <c r="B19" s="46" t="s">
        <v>106</v>
      </c>
      <c r="C19" s="44">
        <v>162705.0</v>
      </c>
      <c r="D19" s="49">
        <v>46002.0</v>
      </c>
      <c r="E19" s="8" t="s">
        <v>10</v>
      </c>
      <c r="F19" s="38"/>
      <c r="G19" s="38"/>
      <c r="H19" s="38"/>
      <c r="I19" s="38"/>
    </row>
    <row r="20">
      <c r="A20" s="48" t="s">
        <v>107</v>
      </c>
      <c r="B20" s="46" t="s">
        <v>106</v>
      </c>
      <c r="C20" s="44">
        <v>60000.0</v>
      </c>
      <c r="D20" s="49">
        <v>46002.0</v>
      </c>
      <c r="E20" s="8" t="s">
        <v>10</v>
      </c>
      <c r="F20" s="38"/>
      <c r="G20" s="57">
        <f>G18-G17</f>
        <v>1627664.29</v>
      </c>
      <c r="H20" s="38"/>
      <c r="I20" s="38"/>
    </row>
    <row r="21">
      <c r="A21" s="55" t="s">
        <v>108</v>
      </c>
      <c r="B21" s="46" t="s">
        <v>97</v>
      </c>
      <c r="C21" s="44">
        <v>64000.0</v>
      </c>
      <c r="D21" s="49">
        <v>46006.0</v>
      </c>
      <c r="E21" s="8" t="s">
        <v>10</v>
      </c>
      <c r="F21" s="38"/>
      <c r="G21" s="38"/>
      <c r="H21" s="38"/>
      <c r="I21" s="38"/>
    </row>
    <row r="22">
      <c r="A22" s="48" t="s">
        <v>109</v>
      </c>
      <c r="B22" s="46" t="s">
        <v>110</v>
      </c>
      <c r="C22" s="44">
        <v>28620.0</v>
      </c>
      <c r="D22" s="56">
        <v>46006.0</v>
      </c>
      <c r="E22" s="8" t="s">
        <v>10</v>
      </c>
      <c r="F22" s="38"/>
      <c r="G22" s="38"/>
      <c r="H22" s="38"/>
      <c r="I22" s="38"/>
    </row>
    <row r="23">
      <c r="A23" s="55" t="s">
        <v>111</v>
      </c>
      <c r="B23" s="43" t="s">
        <v>97</v>
      </c>
      <c r="C23" s="44">
        <v>50000.0</v>
      </c>
      <c r="D23" s="49">
        <v>46009.0</v>
      </c>
      <c r="E23" s="8" t="s">
        <v>10</v>
      </c>
      <c r="F23" s="38"/>
      <c r="G23" s="38"/>
      <c r="H23" s="38"/>
      <c r="I23" s="38"/>
    </row>
    <row r="24">
      <c r="A24" s="54" t="s">
        <v>112</v>
      </c>
      <c r="B24" s="46" t="s">
        <v>113</v>
      </c>
      <c r="C24" s="53">
        <v>15000.0</v>
      </c>
      <c r="D24" s="26">
        <v>46010.0</v>
      </c>
      <c r="E24" s="8" t="s">
        <v>10</v>
      </c>
      <c r="F24" s="38"/>
      <c r="G24" s="60"/>
      <c r="H24" s="60"/>
      <c r="I24" s="38"/>
    </row>
    <row r="25">
      <c r="A25" s="59" t="s">
        <v>114</v>
      </c>
      <c r="B25" s="46" t="s">
        <v>115</v>
      </c>
      <c r="C25" s="53">
        <v>25050.0</v>
      </c>
      <c r="D25" s="26">
        <v>46012.0</v>
      </c>
      <c r="E25" s="8" t="s">
        <v>116</v>
      </c>
      <c r="F25" s="38"/>
      <c r="G25" s="60"/>
      <c r="H25" s="61"/>
      <c r="I25" s="38"/>
    </row>
    <row r="26">
      <c r="A26" s="59" t="s">
        <v>117</v>
      </c>
      <c r="B26" s="46" t="s">
        <v>115</v>
      </c>
      <c r="C26" s="53">
        <v>42560.0</v>
      </c>
      <c r="D26" s="26">
        <v>46014.0</v>
      </c>
      <c r="E26" s="8" t="s">
        <v>10</v>
      </c>
      <c r="F26" s="38"/>
      <c r="G26" s="60"/>
      <c r="H26" s="60"/>
      <c r="I26" s="38"/>
    </row>
    <row r="27">
      <c r="A27" s="59" t="s">
        <v>118</v>
      </c>
      <c r="B27" s="46" t="s">
        <v>115</v>
      </c>
      <c r="C27" s="53">
        <v>24470.0</v>
      </c>
      <c r="D27" s="26">
        <v>46014.0</v>
      </c>
      <c r="E27" s="8" t="s">
        <v>10</v>
      </c>
      <c r="F27" s="38"/>
      <c r="G27" s="60"/>
      <c r="H27" s="60"/>
      <c r="I27" s="38"/>
    </row>
    <row r="28">
      <c r="A28" s="52" t="s">
        <v>119</v>
      </c>
      <c r="B28" s="46"/>
      <c r="C28" s="53">
        <v>1298.18</v>
      </c>
      <c r="D28" s="26">
        <v>46014.0</v>
      </c>
      <c r="E28" s="8" t="s">
        <v>120</v>
      </c>
      <c r="F28" s="38"/>
      <c r="G28" s="60"/>
      <c r="H28" s="60"/>
      <c r="I28" s="38"/>
    </row>
    <row r="29">
      <c r="A29" s="46" t="s">
        <v>73</v>
      </c>
      <c r="B29" s="46" t="s">
        <v>74</v>
      </c>
      <c r="C29" s="53">
        <v>1000.0</v>
      </c>
      <c r="D29" s="66">
        <v>46014.0</v>
      </c>
      <c r="E29" s="8" t="s">
        <v>10</v>
      </c>
      <c r="F29" s="38"/>
      <c r="G29" s="60"/>
      <c r="H29" s="60"/>
      <c r="I29" s="38"/>
    </row>
    <row r="30">
      <c r="A30" s="46" t="s">
        <v>121</v>
      </c>
      <c r="B30" s="46"/>
      <c r="C30" s="53">
        <v>2200.0</v>
      </c>
      <c r="D30" s="26">
        <v>46015.0</v>
      </c>
      <c r="E30" s="8" t="s">
        <v>120</v>
      </c>
      <c r="F30" s="38"/>
      <c r="G30" s="60"/>
      <c r="H30" s="60"/>
      <c r="I30" s="38"/>
    </row>
    <row r="31">
      <c r="A31" s="54" t="s">
        <v>122</v>
      </c>
      <c r="B31" s="46" t="s">
        <v>123</v>
      </c>
      <c r="C31" s="53">
        <v>24000.0</v>
      </c>
      <c r="D31" s="26">
        <v>46015.0</v>
      </c>
      <c r="E31" s="8" t="s">
        <v>10</v>
      </c>
      <c r="F31" s="38"/>
      <c r="G31" s="60"/>
      <c r="H31" s="60"/>
      <c r="I31" s="38"/>
    </row>
    <row r="32">
      <c r="A32" s="54" t="s">
        <v>124</v>
      </c>
      <c r="B32" s="46" t="s">
        <v>125</v>
      </c>
      <c r="C32" s="53">
        <v>19020.0</v>
      </c>
      <c r="D32" s="26">
        <v>46015.0</v>
      </c>
      <c r="E32" s="8" t="s">
        <v>10</v>
      </c>
      <c r="F32" s="38"/>
      <c r="G32" s="60"/>
      <c r="H32" s="60"/>
      <c r="I32" s="38"/>
    </row>
    <row r="33">
      <c r="A33" s="59" t="s">
        <v>96</v>
      </c>
      <c r="B33" s="46" t="s">
        <v>126</v>
      </c>
      <c r="C33" s="53">
        <v>10650.0</v>
      </c>
      <c r="D33" s="26">
        <v>46016.0</v>
      </c>
      <c r="E33" s="8" t="s">
        <v>10</v>
      </c>
      <c r="F33" s="38"/>
      <c r="G33" s="60"/>
      <c r="H33" s="60"/>
      <c r="I33" s="38"/>
    </row>
    <row r="34">
      <c r="A34" s="59" t="s">
        <v>98</v>
      </c>
      <c r="B34" s="46" t="s">
        <v>126</v>
      </c>
      <c r="C34" s="53">
        <v>10650.0</v>
      </c>
      <c r="D34" s="26">
        <v>46016.0</v>
      </c>
      <c r="E34" s="8" t="s">
        <v>10</v>
      </c>
      <c r="F34" s="38"/>
      <c r="G34" s="60"/>
      <c r="H34" s="60"/>
      <c r="I34" s="38"/>
    </row>
    <row r="35">
      <c r="A35" s="55" t="s">
        <v>108</v>
      </c>
      <c r="B35" s="46" t="s">
        <v>126</v>
      </c>
      <c r="C35" s="53">
        <v>21300.0</v>
      </c>
      <c r="D35" s="26">
        <v>46016.0</v>
      </c>
      <c r="E35" s="8" t="s">
        <v>10</v>
      </c>
      <c r="F35" s="38"/>
      <c r="G35" s="60"/>
      <c r="H35" s="60"/>
      <c r="I35" s="38"/>
    </row>
    <row r="36">
      <c r="A36" s="46" t="s">
        <v>39</v>
      </c>
      <c r="B36" s="46"/>
      <c r="C36" s="62">
        <v>12000.0</v>
      </c>
      <c r="D36" s="26">
        <v>46018.0</v>
      </c>
      <c r="E36" s="8" t="s">
        <v>10</v>
      </c>
      <c r="F36" s="38"/>
      <c r="G36" s="60"/>
      <c r="H36" s="60"/>
      <c r="I36" s="38"/>
    </row>
    <row r="37">
      <c r="A37" s="46" t="s">
        <v>127</v>
      </c>
      <c r="B37" s="46" t="s">
        <v>128</v>
      </c>
      <c r="C37" s="62">
        <v>50000.0</v>
      </c>
      <c r="D37" s="26">
        <v>46019.0</v>
      </c>
      <c r="E37" s="8" t="s">
        <v>10</v>
      </c>
      <c r="F37" s="38"/>
      <c r="G37" s="60"/>
      <c r="H37" s="60"/>
      <c r="I37" s="38"/>
    </row>
    <row r="38">
      <c r="A38" s="52" t="s">
        <v>94</v>
      </c>
      <c r="B38" s="46" t="s">
        <v>95</v>
      </c>
      <c r="C38" s="62">
        <v>9372.39</v>
      </c>
      <c r="D38" s="26">
        <v>46021.0</v>
      </c>
      <c r="E38" s="8" t="s">
        <v>10</v>
      </c>
      <c r="F38" s="38"/>
      <c r="G38" s="60"/>
      <c r="H38" s="60"/>
      <c r="I38" s="38"/>
    </row>
    <row r="39">
      <c r="A39" s="59" t="s">
        <v>111</v>
      </c>
      <c r="B39" s="46" t="s">
        <v>126</v>
      </c>
      <c r="C39" s="62">
        <v>20000.0</v>
      </c>
      <c r="D39" s="26">
        <v>46022.0</v>
      </c>
      <c r="E39" s="8" t="s">
        <v>10</v>
      </c>
      <c r="F39" s="38"/>
      <c r="G39" s="60"/>
      <c r="H39" s="60"/>
      <c r="I39" s="38"/>
    </row>
    <row r="40">
      <c r="A40" s="54" t="s">
        <v>129</v>
      </c>
      <c r="B40" s="67" t="s">
        <v>130</v>
      </c>
      <c r="C40" s="62">
        <v>432329.69</v>
      </c>
      <c r="D40" s="26">
        <v>46022.0</v>
      </c>
      <c r="E40" s="68" t="s">
        <v>131</v>
      </c>
      <c r="F40" s="38"/>
      <c r="G40" s="60"/>
      <c r="H40" s="60"/>
      <c r="I40" s="38"/>
    </row>
    <row r="41">
      <c r="A41" s="63" t="s">
        <v>44</v>
      </c>
      <c r="B41" s="46" t="s">
        <v>132</v>
      </c>
      <c r="C41" s="62">
        <v>10776.6</v>
      </c>
      <c r="D41" s="26">
        <v>46022.0</v>
      </c>
      <c r="E41" s="8" t="s">
        <v>10</v>
      </c>
      <c r="F41" s="38"/>
      <c r="G41" s="38"/>
      <c r="H41" s="38"/>
      <c r="I41" s="38"/>
    </row>
    <row r="42">
      <c r="A42" s="63" t="s">
        <v>133</v>
      </c>
      <c r="B42" s="46" t="s">
        <v>132</v>
      </c>
      <c r="C42" s="62">
        <v>45.0</v>
      </c>
      <c r="D42" s="26">
        <v>46022.0</v>
      </c>
      <c r="E42" s="8" t="s">
        <v>10</v>
      </c>
      <c r="F42" s="38"/>
      <c r="G42" s="38"/>
      <c r="H42" s="38"/>
      <c r="I42" s="38"/>
    </row>
    <row r="43">
      <c r="A43" s="63" t="s">
        <v>45</v>
      </c>
      <c r="B43" s="46" t="s">
        <v>132</v>
      </c>
      <c r="C43" s="62">
        <v>20490.0</v>
      </c>
      <c r="D43" s="26">
        <v>46022.0</v>
      </c>
      <c r="E43" s="8" t="s">
        <v>10</v>
      </c>
      <c r="F43" s="38"/>
      <c r="G43" s="38"/>
      <c r="H43" s="38"/>
      <c r="I43" s="38"/>
    </row>
    <row r="44">
      <c r="A44" s="52" t="s">
        <v>43</v>
      </c>
      <c r="B44" s="46"/>
      <c r="C44" s="62">
        <f>H5-H7</f>
        <v>81117.52</v>
      </c>
      <c r="D44" s="26">
        <v>46022.0</v>
      </c>
      <c r="E44" s="8"/>
      <c r="F44" s="38"/>
      <c r="G44" s="38"/>
      <c r="H44" s="38"/>
      <c r="I44" s="38"/>
    </row>
    <row r="45">
      <c r="A45" s="43" t="s">
        <v>46</v>
      </c>
      <c r="B45" s="43"/>
      <c r="C45" s="44">
        <f>SUM(C2:C44)</f>
        <v>1731360.78</v>
      </c>
      <c r="D45" s="4"/>
      <c r="E45" s="4"/>
      <c r="F45" s="38"/>
      <c r="G45" s="38"/>
      <c r="H45" s="38"/>
      <c r="I45" s="38"/>
    </row>
    <row r="46">
      <c r="A46" s="31"/>
      <c r="B46" s="31"/>
      <c r="C46" s="32"/>
    </row>
    <row r="47">
      <c r="A47" s="69"/>
      <c r="B47" s="35" t="s">
        <v>134</v>
      </c>
      <c r="C47" s="32"/>
    </row>
    <row r="48">
      <c r="A48" s="31"/>
      <c r="B48" s="31"/>
      <c r="C48" s="32"/>
    </row>
    <row r="49">
      <c r="A49" s="70"/>
      <c r="B49" s="35" t="s">
        <v>135</v>
      </c>
      <c r="C49" s="32"/>
      <c r="G49" s="33"/>
      <c r="H49" s="34"/>
    </row>
    <row r="50">
      <c r="A50" s="35"/>
      <c r="B50" s="35"/>
      <c r="C50" s="32"/>
    </row>
    <row r="51">
      <c r="A51" s="71"/>
      <c r="B51" s="35" t="s">
        <v>136</v>
      </c>
      <c r="C51" s="36"/>
    </row>
    <row r="52">
      <c r="A52" s="35"/>
      <c r="B52" s="35"/>
      <c r="C52" s="36"/>
    </row>
    <row r="53">
      <c r="A53" s="72"/>
      <c r="B53" s="35" t="s">
        <v>137</v>
      </c>
      <c r="C53" s="36"/>
    </row>
    <row r="54">
      <c r="C54" s="37"/>
    </row>
    <row r="55">
      <c r="C55" s="37"/>
    </row>
    <row r="56">
      <c r="C56" s="37"/>
    </row>
    <row r="57">
      <c r="C57" s="37"/>
    </row>
    <row r="58">
      <c r="C58" s="37"/>
    </row>
    <row r="59">
      <c r="C59" s="37"/>
    </row>
    <row r="60">
      <c r="C60" s="37"/>
    </row>
    <row r="61">
      <c r="C61" s="37"/>
    </row>
    <row r="62">
      <c r="C62" s="37"/>
    </row>
    <row r="63">
      <c r="C63" s="37"/>
    </row>
    <row r="64">
      <c r="C64" s="37"/>
    </row>
    <row r="65">
      <c r="C65" s="37"/>
    </row>
    <row r="66">
      <c r="C66" s="37"/>
    </row>
    <row r="67">
      <c r="C67" s="37"/>
    </row>
    <row r="68">
      <c r="C68" s="37"/>
    </row>
    <row r="69">
      <c r="C69" s="37"/>
    </row>
    <row r="70">
      <c r="C70" s="37"/>
    </row>
    <row r="71">
      <c r="C71" s="37"/>
    </row>
    <row r="72">
      <c r="C72" s="37"/>
    </row>
    <row r="73">
      <c r="C73" s="37"/>
    </row>
    <row r="74">
      <c r="C74" s="37"/>
    </row>
    <row r="75">
      <c r="C75" s="37"/>
    </row>
    <row r="76">
      <c r="C76" s="37"/>
    </row>
    <row r="77">
      <c r="C77" s="37"/>
    </row>
    <row r="78">
      <c r="C78" s="37"/>
    </row>
    <row r="79">
      <c r="C79" s="37"/>
    </row>
    <row r="80">
      <c r="C80" s="37"/>
    </row>
    <row r="81">
      <c r="C81" s="37"/>
    </row>
    <row r="82">
      <c r="C82" s="37"/>
    </row>
    <row r="83">
      <c r="C83" s="37"/>
    </row>
    <row r="84">
      <c r="C84" s="37"/>
    </row>
    <row r="85">
      <c r="C85" s="37"/>
    </row>
    <row r="86">
      <c r="C86" s="37"/>
    </row>
    <row r="87">
      <c r="C87" s="37"/>
    </row>
    <row r="88">
      <c r="C88" s="37"/>
    </row>
    <row r="89">
      <c r="C89" s="37"/>
    </row>
    <row r="90">
      <c r="C90" s="37"/>
    </row>
    <row r="91">
      <c r="C91" s="37"/>
    </row>
    <row r="92">
      <c r="C92" s="37"/>
    </row>
    <row r="93">
      <c r="C93" s="37"/>
    </row>
    <row r="94">
      <c r="C94" s="37"/>
    </row>
    <row r="95">
      <c r="C95" s="37"/>
    </row>
    <row r="96">
      <c r="C96" s="37"/>
    </row>
    <row r="97">
      <c r="C97" s="37"/>
    </row>
    <row r="98">
      <c r="C98" s="37"/>
    </row>
    <row r="99">
      <c r="C99" s="37"/>
    </row>
    <row r="100">
      <c r="C100" s="37"/>
    </row>
    <row r="101">
      <c r="C101" s="37"/>
    </row>
    <row r="102">
      <c r="C102" s="37"/>
    </row>
    <row r="103">
      <c r="C103" s="37"/>
    </row>
    <row r="104">
      <c r="C104" s="37"/>
    </row>
    <row r="105">
      <c r="C105" s="37"/>
    </row>
    <row r="106">
      <c r="C106" s="37"/>
    </row>
    <row r="107">
      <c r="C107" s="37"/>
    </row>
    <row r="108">
      <c r="C108" s="37"/>
    </row>
    <row r="109">
      <c r="C109" s="37"/>
    </row>
    <row r="110">
      <c r="C110" s="37"/>
    </row>
    <row r="111">
      <c r="C111" s="37"/>
    </row>
    <row r="112">
      <c r="C112" s="37"/>
    </row>
    <row r="113">
      <c r="C113" s="37"/>
    </row>
    <row r="114">
      <c r="C114" s="37"/>
    </row>
    <row r="115">
      <c r="C115" s="37"/>
    </row>
    <row r="116">
      <c r="C116" s="37"/>
    </row>
    <row r="117">
      <c r="C117" s="37"/>
    </row>
    <row r="118">
      <c r="C118" s="37"/>
    </row>
    <row r="119">
      <c r="C119" s="37"/>
    </row>
    <row r="120">
      <c r="C120" s="37"/>
    </row>
    <row r="121">
      <c r="C121" s="37"/>
    </row>
    <row r="122">
      <c r="C122" s="37"/>
    </row>
    <row r="123">
      <c r="C123" s="37"/>
    </row>
    <row r="124">
      <c r="C124" s="37"/>
    </row>
    <row r="125">
      <c r="C125" s="37"/>
    </row>
    <row r="126">
      <c r="C126" s="37"/>
    </row>
    <row r="127">
      <c r="C127" s="37"/>
    </row>
    <row r="128">
      <c r="C128" s="37"/>
    </row>
    <row r="129">
      <c r="C129" s="37"/>
    </row>
    <row r="130">
      <c r="C130" s="37"/>
    </row>
    <row r="131">
      <c r="C131" s="37"/>
    </row>
    <row r="132">
      <c r="C132" s="37"/>
    </row>
    <row r="133">
      <c r="C133" s="37"/>
    </row>
    <row r="134">
      <c r="C134" s="37"/>
    </row>
    <row r="135">
      <c r="C135" s="37"/>
    </row>
    <row r="136">
      <c r="C136" s="37"/>
    </row>
    <row r="137">
      <c r="C137" s="37"/>
    </row>
    <row r="138">
      <c r="C138" s="37"/>
    </row>
    <row r="139">
      <c r="C139" s="37"/>
    </row>
    <row r="140">
      <c r="C140" s="37"/>
    </row>
    <row r="141">
      <c r="C141" s="37"/>
    </row>
    <row r="142">
      <c r="C142" s="37"/>
    </row>
    <row r="143">
      <c r="C143" s="37"/>
    </row>
    <row r="144">
      <c r="C144" s="37"/>
    </row>
    <row r="145">
      <c r="C145" s="37"/>
    </row>
    <row r="146">
      <c r="C146" s="37"/>
    </row>
    <row r="147">
      <c r="C147" s="37"/>
    </row>
    <row r="148">
      <c r="C148" s="37"/>
    </row>
    <row r="149">
      <c r="C149" s="37"/>
    </row>
    <row r="150">
      <c r="C150" s="37"/>
    </row>
    <row r="151">
      <c r="C151" s="37"/>
    </row>
    <row r="152">
      <c r="C152" s="37"/>
    </row>
    <row r="153">
      <c r="C153" s="37"/>
    </row>
    <row r="154">
      <c r="C154" s="37"/>
    </row>
    <row r="155">
      <c r="C155" s="37"/>
    </row>
    <row r="156">
      <c r="C156" s="37"/>
    </row>
    <row r="157">
      <c r="C157" s="37"/>
    </row>
    <row r="158">
      <c r="C158" s="37"/>
    </row>
    <row r="159">
      <c r="C159" s="37"/>
    </row>
    <row r="160">
      <c r="C160" s="37"/>
    </row>
    <row r="161">
      <c r="C161" s="37"/>
    </row>
    <row r="162">
      <c r="C162" s="37"/>
    </row>
    <row r="163">
      <c r="C163" s="37"/>
    </row>
    <row r="164">
      <c r="C164" s="37"/>
    </row>
    <row r="165">
      <c r="C165" s="37"/>
    </row>
    <row r="166">
      <c r="C166" s="37"/>
    </row>
    <row r="167">
      <c r="C167" s="37"/>
    </row>
    <row r="168">
      <c r="C168" s="37"/>
    </row>
    <row r="169">
      <c r="C169" s="37"/>
    </row>
    <row r="170">
      <c r="C170" s="37"/>
    </row>
    <row r="171">
      <c r="C171" s="37"/>
    </row>
    <row r="172">
      <c r="C172" s="37"/>
    </row>
    <row r="173">
      <c r="C173" s="37"/>
    </row>
    <row r="174">
      <c r="C174" s="37"/>
    </row>
    <row r="175">
      <c r="C175" s="37"/>
    </row>
    <row r="176">
      <c r="C176" s="37"/>
    </row>
    <row r="177">
      <c r="C177" s="37"/>
    </row>
    <row r="178">
      <c r="C178" s="37"/>
    </row>
    <row r="179">
      <c r="C179" s="37"/>
    </row>
    <row r="180">
      <c r="C180" s="37"/>
    </row>
    <row r="181">
      <c r="C181" s="37"/>
    </row>
    <row r="182">
      <c r="C182" s="37"/>
    </row>
    <row r="183">
      <c r="C183" s="37"/>
    </row>
    <row r="184">
      <c r="C184" s="37"/>
    </row>
    <row r="185">
      <c r="C185" s="37"/>
    </row>
    <row r="186">
      <c r="C186" s="37"/>
    </row>
    <row r="187">
      <c r="C187" s="37"/>
    </row>
    <row r="188">
      <c r="C188" s="37"/>
    </row>
    <row r="189">
      <c r="C189" s="37"/>
    </row>
    <row r="190">
      <c r="C190" s="37"/>
    </row>
    <row r="191">
      <c r="C191" s="37"/>
    </row>
    <row r="192">
      <c r="C192" s="37"/>
    </row>
    <row r="193">
      <c r="C193" s="37"/>
    </row>
    <row r="194">
      <c r="C194" s="37"/>
    </row>
    <row r="195">
      <c r="C195" s="37"/>
    </row>
    <row r="196">
      <c r="C196" s="37"/>
    </row>
    <row r="197">
      <c r="C197" s="37"/>
    </row>
    <row r="198">
      <c r="C198" s="37"/>
    </row>
    <row r="199">
      <c r="C199" s="37"/>
    </row>
    <row r="200">
      <c r="C200" s="37"/>
    </row>
    <row r="201">
      <c r="C201" s="37"/>
    </row>
    <row r="202">
      <c r="C202" s="37"/>
    </row>
    <row r="203">
      <c r="C203" s="37"/>
    </row>
    <row r="204">
      <c r="C204" s="37"/>
    </row>
    <row r="205">
      <c r="C205" s="37"/>
    </row>
    <row r="206">
      <c r="C206" s="37"/>
    </row>
    <row r="207">
      <c r="C207" s="37"/>
    </row>
    <row r="208">
      <c r="C208" s="37"/>
    </row>
    <row r="209">
      <c r="C209" s="37"/>
    </row>
    <row r="210">
      <c r="C210" s="37"/>
    </row>
    <row r="211">
      <c r="C211" s="37"/>
    </row>
    <row r="212">
      <c r="C212" s="37"/>
    </row>
    <row r="213">
      <c r="C213" s="37"/>
    </row>
    <row r="214">
      <c r="C214" s="37"/>
    </row>
    <row r="215">
      <c r="C215" s="37"/>
    </row>
    <row r="216">
      <c r="C216" s="37"/>
    </row>
    <row r="217">
      <c r="C217" s="37"/>
    </row>
    <row r="218">
      <c r="C218" s="37"/>
    </row>
    <row r="219">
      <c r="C219" s="37"/>
    </row>
    <row r="220">
      <c r="C220" s="37"/>
    </row>
    <row r="221">
      <c r="C221" s="37"/>
    </row>
    <row r="222">
      <c r="C222" s="37"/>
    </row>
    <row r="223">
      <c r="C223" s="37"/>
    </row>
    <row r="224">
      <c r="C224" s="37"/>
    </row>
    <row r="225">
      <c r="C225" s="37"/>
    </row>
    <row r="226">
      <c r="C226" s="37"/>
    </row>
    <row r="227">
      <c r="C227" s="37"/>
    </row>
    <row r="228">
      <c r="C228" s="37"/>
    </row>
    <row r="229">
      <c r="C229" s="37"/>
    </row>
    <row r="230">
      <c r="C230" s="37"/>
    </row>
    <row r="231">
      <c r="C231" s="37"/>
    </row>
    <row r="232">
      <c r="C232" s="37"/>
    </row>
    <row r="233">
      <c r="C233" s="37"/>
    </row>
    <row r="234">
      <c r="C234" s="37"/>
    </row>
    <row r="235">
      <c r="C235" s="37"/>
    </row>
    <row r="236">
      <c r="C236" s="37"/>
    </row>
    <row r="237">
      <c r="C237" s="37"/>
    </row>
    <row r="238">
      <c r="C238" s="37"/>
    </row>
    <row r="239">
      <c r="C239" s="37"/>
    </row>
    <row r="240">
      <c r="C240" s="37"/>
    </row>
    <row r="241">
      <c r="C241" s="37"/>
    </row>
    <row r="242">
      <c r="C242" s="37"/>
    </row>
    <row r="243">
      <c r="C243" s="37"/>
    </row>
    <row r="244">
      <c r="C244" s="37"/>
    </row>
    <row r="245">
      <c r="C245" s="37"/>
    </row>
    <row r="246">
      <c r="C246" s="37"/>
    </row>
    <row r="247">
      <c r="C247" s="37"/>
    </row>
    <row r="248">
      <c r="C248" s="37"/>
    </row>
    <row r="249">
      <c r="C249" s="37"/>
    </row>
    <row r="250">
      <c r="C250" s="37"/>
    </row>
    <row r="251">
      <c r="C251" s="37"/>
    </row>
    <row r="252">
      <c r="C252" s="37"/>
    </row>
    <row r="253">
      <c r="C253" s="37"/>
    </row>
    <row r="254">
      <c r="C254" s="37"/>
    </row>
    <row r="255">
      <c r="C255" s="37"/>
    </row>
    <row r="256">
      <c r="C256" s="37"/>
    </row>
    <row r="257">
      <c r="C257" s="37"/>
    </row>
    <row r="258">
      <c r="C258" s="37"/>
    </row>
    <row r="259">
      <c r="C259" s="37"/>
    </row>
    <row r="260">
      <c r="C260" s="37"/>
    </row>
    <row r="261">
      <c r="C261" s="37"/>
    </row>
    <row r="262">
      <c r="C262" s="37"/>
    </row>
    <row r="263">
      <c r="C263" s="37"/>
    </row>
    <row r="264">
      <c r="C264" s="37"/>
    </row>
    <row r="265">
      <c r="C265" s="37"/>
    </row>
    <row r="266">
      <c r="C266" s="37"/>
    </row>
    <row r="267">
      <c r="C267" s="37"/>
    </row>
    <row r="268">
      <c r="C268" s="37"/>
    </row>
    <row r="269">
      <c r="C269" s="37"/>
    </row>
    <row r="270">
      <c r="C270" s="37"/>
    </row>
    <row r="271">
      <c r="C271" s="37"/>
    </row>
    <row r="272">
      <c r="C272" s="37"/>
    </row>
    <row r="273">
      <c r="C273" s="37"/>
    </row>
    <row r="274">
      <c r="C274" s="37"/>
    </row>
    <row r="275">
      <c r="C275" s="37"/>
    </row>
    <row r="276">
      <c r="C276" s="37"/>
    </row>
    <row r="277">
      <c r="C277" s="37"/>
    </row>
    <row r="278">
      <c r="C278" s="37"/>
    </row>
    <row r="279">
      <c r="C279" s="37"/>
    </row>
    <row r="280">
      <c r="C280" s="37"/>
    </row>
    <row r="281">
      <c r="C281" s="37"/>
    </row>
    <row r="282">
      <c r="C282" s="37"/>
    </row>
    <row r="283">
      <c r="C283" s="37"/>
    </row>
    <row r="284">
      <c r="C284" s="37"/>
    </row>
    <row r="285">
      <c r="C285" s="37"/>
    </row>
    <row r="286">
      <c r="C286" s="37"/>
    </row>
    <row r="287">
      <c r="C287" s="37"/>
    </row>
    <row r="288">
      <c r="C288" s="37"/>
    </row>
    <row r="289">
      <c r="C289" s="37"/>
    </row>
    <row r="290">
      <c r="C290" s="37"/>
    </row>
    <row r="291">
      <c r="C291" s="37"/>
    </row>
    <row r="292">
      <c r="C292" s="37"/>
    </row>
    <row r="293">
      <c r="C293" s="37"/>
    </row>
    <row r="294">
      <c r="C294" s="37"/>
    </row>
    <row r="295">
      <c r="C295" s="37"/>
    </row>
    <row r="296">
      <c r="C296" s="37"/>
    </row>
    <row r="297">
      <c r="C297" s="37"/>
    </row>
    <row r="298">
      <c r="C298" s="37"/>
    </row>
    <row r="299">
      <c r="C299" s="37"/>
    </row>
    <row r="300">
      <c r="C300" s="37"/>
    </row>
    <row r="301">
      <c r="C301" s="37"/>
    </row>
    <row r="302">
      <c r="C302" s="37"/>
    </row>
    <row r="303">
      <c r="C303" s="37"/>
    </row>
    <row r="304">
      <c r="C304" s="37"/>
    </row>
    <row r="305">
      <c r="C305" s="37"/>
    </row>
    <row r="306">
      <c r="C306" s="37"/>
    </row>
    <row r="307">
      <c r="C307" s="37"/>
    </row>
    <row r="308">
      <c r="C308" s="37"/>
    </row>
    <row r="309">
      <c r="C309" s="37"/>
    </row>
    <row r="310">
      <c r="C310" s="37"/>
    </row>
    <row r="311">
      <c r="C311" s="37"/>
    </row>
    <row r="312">
      <c r="C312" s="37"/>
    </row>
    <row r="313">
      <c r="C313" s="37"/>
    </row>
    <row r="314">
      <c r="C314" s="37"/>
    </row>
    <row r="315">
      <c r="C315" s="37"/>
    </row>
    <row r="316">
      <c r="C316" s="37"/>
    </row>
    <row r="317">
      <c r="C317" s="37"/>
    </row>
    <row r="318">
      <c r="C318" s="37"/>
    </row>
    <row r="319">
      <c r="C319" s="37"/>
    </row>
    <row r="320">
      <c r="C320" s="37"/>
    </row>
    <row r="321">
      <c r="C321" s="37"/>
    </row>
    <row r="322">
      <c r="C322" s="37"/>
    </row>
    <row r="323">
      <c r="C323" s="37"/>
    </row>
    <row r="324">
      <c r="C324" s="37"/>
    </row>
    <row r="325">
      <c r="C325" s="37"/>
    </row>
    <row r="326">
      <c r="C326" s="37"/>
    </row>
    <row r="327">
      <c r="C327" s="37"/>
    </row>
    <row r="328">
      <c r="C328" s="37"/>
    </row>
    <row r="329">
      <c r="C329" s="37"/>
    </row>
    <row r="330">
      <c r="C330" s="37"/>
    </row>
    <row r="331">
      <c r="C331" s="37"/>
    </row>
    <row r="332">
      <c r="C332" s="37"/>
    </row>
    <row r="333">
      <c r="C333" s="37"/>
    </row>
    <row r="334">
      <c r="C334" s="37"/>
    </row>
    <row r="335">
      <c r="C335" s="37"/>
    </row>
    <row r="336">
      <c r="C336" s="37"/>
    </row>
    <row r="337">
      <c r="C337" s="37"/>
    </row>
    <row r="338">
      <c r="C338" s="37"/>
    </row>
    <row r="339">
      <c r="C339" s="37"/>
    </row>
    <row r="340">
      <c r="C340" s="37"/>
    </row>
    <row r="341">
      <c r="C341" s="37"/>
    </row>
    <row r="342">
      <c r="C342" s="37"/>
    </row>
    <row r="343">
      <c r="C343" s="37"/>
    </row>
    <row r="344">
      <c r="C344" s="37"/>
    </row>
    <row r="345">
      <c r="C345" s="37"/>
    </row>
    <row r="346">
      <c r="C346" s="37"/>
    </row>
    <row r="347">
      <c r="C347" s="37"/>
    </row>
    <row r="348">
      <c r="C348" s="37"/>
    </row>
    <row r="349">
      <c r="C349" s="37"/>
    </row>
    <row r="350">
      <c r="C350" s="37"/>
    </row>
    <row r="351">
      <c r="C351" s="37"/>
    </row>
    <row r="352">
      <c r="C352" s="37"/>
    </row>
    <row r="353">
      <c r="C353" s="37"/>
    </row>
    <row r="354">
      <c r="C354" s="37"/>
    </row>
    <row r="355">
      <c r="C355" s="37"/>
    </row>
    <row r="356">
      <c r="C356" s="37"/>
    </row>
    <row r="357">
      <c r="C357" s="37"/>
    </row>
    <row r="358">
      <c r="C358" s="37"/>
    </row>
    <row r="359">
      <c r="C359" s="37"/>
    </row>
    <row r="360">
      <c r="C360" s="37"/>
    </row>
    <row r="361">
      <c r="C361" s="37"/>
    </row>
    <row r="362">
      <c r="C362" s="37"/>
    </row>
    <row r="363">
      <c r="C363" s="37"/>
    </row>
    <row r="364">
      <c r="C364" s="37"/>
    </row>
    <row r="365">
      <c r="C365" s="37"/>
    </row>
    <row r="366">
      <c r="C366" s="37"/>
    </row>
    <row r="367">
      <c r="C367" s="37"/>
    </row>
    <row r="368">
      <c r="C368" s="37"/>
    </row>
    <row r="369">
      <c r="C369" s="37"/>
    </row>
    <row r="370">
      <c r="C370" s="37"/>
    </row>
    <row r="371">
      <c r="C371" s="37"/>
    </row>
    <row r="372">
      <c r="C372" s="37"/>
    </row>
    <row r="373">
      <c r="C373" s="37"/>
    </row>
    <row r="374">
      <c r="C374" s="37"/>
    </row>
    <row r="375">
      <c r="C375" s="37"/>
    </row>
    <row r="376">
      <c r="C376" s="37"/>
    </row>
    <row r="377">
      <c r="C377" s="37"/>
    </row>
    <row r="378">
      <c r="C378" s="37"/>
    </row>
    <row r="379">
      <c r="C379" s="37"/>
    </row>
    <row r="380">
      <c r="C380" s="37"/>
    </row>
    <row r="381">
      <c r="C381" s="37"/>
    </row>
    <row r="382">
      <c r="C382" s="37"/>
    </row>
    <row r="383">
      <c r="C383" s="37"/>
    </row>
    <row r="384">
      <c r="C384" s="37"/>
    </row>
    <row r="385">
      <c r="C385" s="37"/>
    </row>
    <row r="386">
      <c r="C386" s="37"/>
    </row>
    <row r="387">
      <c r="C387" s="37"/>
    </row>
    <row r="388">
      <c r="C388" s="37"/>
    </row>
    <row r="389">
      <c r="C389" s="37"/>
    </row>
    <row r="390">
      <c r="C390" s="37"/>
    </row>
    <row r="391">
      <c r="C391" s="37"/>
    </row>
    <row r="392">
      <c r="C392" s="37"/>
    </row>
    <row r="393">
      <c r="C393" s="37"/>
    </row>
    <row r="394">
      <c r="C394" s="37"/>
    </row>
    <row r="395">
      <c r="C395" s="37"/>
    </row>
    <row r="396">
      <c r="C396" s="37"/>
    </row>
    <row r="397">
      <c r="C397" s="37"/>
    </row>
    <row r="398">
      <c r="C398" s="37"/>
    </row>
    <row r="399">
      <c r="C399" s="37"/>
    </row>
    <row r="400">
      <c r="C400" s="37"/>
    </row>
    <row r="401">
      <c r="C401" s="37"/>
    </row>
    <row r="402">
      <c r="C402" s="37"/>
    </row>
    <row r="403">
      <c r="C403" s="37"/>
    </row>
    <row r="404">
      <c r="C404" s="37"/>
    </row>
    <row r="405">
      <c r="C405" s="37"/>
    </row>
    <row r="406">
      <c r="C406" s="37"/>
    </row>
    <row r="407">
      <c r="C407" s="37"/>
    </row>
    <row r="408">
      <c r="C408" s="37"/>
    </row>
    <row r="409">
      <c r="C409" s="37"/>
    </row>
    <row r="410">
      <c r="C410" s="37"/>
    </row>
    <row r="411">
      <c r="C411" s="37"/>
    </row>
    <row r="412">
      <c r="C412" s="37"/>
    </row>
    <row r="413">
      <c r="C413" s="37"/>
    </row>
    <row r="414">
      <c r="C414" s="37"/>
    </row>
    <row r="415">
      <c r="C415" s="37"/>
    </row>
    <row r="416">
      <c r="C416" s="37"/>
    </row>
    <row r="417">
      <c r="C417" s="37"/>
    </row>
    <row r="418">
      <c r="C418" s="37"/>
    </row>
    <row r="419">
      <c r="C419" s="37"/>
    </row>
    <row r="420">
      <c r="C420" s="37"/>
    </row>
    <row r="421">
      <c r="C421" s="37"/>
    </row>
    <row r="422">
      <c r="C422" s="37"/>
    </row>
    <row r="423">
      <c r="C423" s="37"/>
    </row>
    <row r="424">
      <c r="C424" s="37"/>
    </row>
    <row r="425">
      <c r="C425" s="37"/>
    </row>
    <row r="426">
      <c r="C426" s="37"/>
    </row>
    <row r="427">
      <c r="C427" s="37"/>
    </row>
    <row r="428">
      <c r="C428" s="37"/>
    </row>
    <row r="429">
      <c r="C429" s="37"/>
    </row>
    <row r="430">
      <c r="C430" s="37"/>
    </row>
    <row r="431">
      <c r="C431" s="37"/>
    </row>
    <row r="432">
      <c r="C432" s="37"/>
    </row>
    <row r="433">
      <c r="C433" s="37"/>
    </row>
    <row r="434">
      <c r="C434" s="37"/>
    </row>
    <row r="435">
      <c r="C435" s="37"/>
    </row>
    <row r="436">
      <c r="C436" s="37"/>
    </row>
    <row r="437">
      <c r="C437" s="37"/>
    </row>
    <row r="438">
      <c r="C438" s="37"/>
    </row>
    <row r="439">
      <c r="C439" s="37"/>
    </row>
    <row r="440">
      <c r="C440" s="37"/>
    </row>
    <row r="441">
      <c r="C441" s="37"/>
    </row>
    <row r="442">
      <c r="C442" s="37"/>
    </row>
    <row r="443">
      <c r="C443" s="37"/>
    </row>
    <row r="444">
      <c r="C444" s="37"/>
    </row>
    <row r="445">
      <c r="C445" s="37"/>
    </row>
    <row r="446">
      <c r="C446" s="37"/>
    </row>
    <row r="447">
      <c r="C447" s="37"/>
    </row>
    <row r="448">
      <c r="C448" s="37"/>
    </row>
    <row r="449">
      <c r="C449" s="37"/>
    </row>
    <row r="450">
      <c r="C450" s="37"/>
    </row>
    <row r="451">
      <c r="C451" s="37"/>
    </row>
    <row r="452">
      <c r="C452" s="37"/>
    </row>
    <row r="453">
      <c r="C453" s="37"/>
    </row>
    <row r="454">
      <c r="C454" s="37"/>
    </row>
    <row r="455">
      <c r="C455" s="37"/>
    </row>
    <row r="456">
      <c r="C456" s="37"/>
    </row>
    <row r="457">
      <c r="C457" s="37"/>
    </row>
    <row r="458">
      <c r="C458" s="37"/>
    </row>
    <row r="459">
      <c r="C459" s="37"/>
    </row>
    <row r="460">
      <c r="C460" s="37"/>
    </row>
    <row r="461">
      <c r="C461" s="37"/>
    </row>
    <row r="462">
      <c r="C462" s="37"/>
    </row>
    <row r="463">
      <c r="C463" s="37"/>
    </row>
    <row r="464">
      <c r="C464" s="37"/>
    </row>
    <row r="465">
      <c r="C465" s="37"/>
    </row>
    <row r="466">
      <c r="C466" s="37"/>
    </row>
    <row r="467">
      <c r="C467" s="37"/>
    </row>
    <row r="468">
      <c r="C468" s="37"/>
    </row>
    <row r="469">
      <c r="C469" s="37"/>
    </row>
    <row r="470">
      <c r="C470" s="37"/>
    </row>
    <row r="471">
      <c r="C471" s="37"/>
    </row>
    <row r="472">
      <c r="C472" s="37"/>
    </row>
    <row r="473">
      <c r="C473" s="37"/>
    </row>
    <row r="474">
      <c r="C474" s="37"/>
    </row>
    <row r="475">
      <c r="C475" s="37"/>
    </row>
    <row r="476">
      <c r="C476" s="37"/>
    </row>
    <row r="477">
      <c r="C477" s="37"/>
    </row>
    <row r="478">
      <c r="C478" s="37"/>
    </row>
    <row r="479">
      <c r="C479" s="37"/>
    </row>
    <row r="480">
      <c r="C480" s="37"/>
    </row>
    <row r="481">
      <c r="C481" s="37"/>
    </row>
    <row r="482">
      <c r="C482" s="37"/>
    </row>
    <row r="483">
      <c r="C483" s="37"/>
    </row>
    <row r="484">
      <c r="C484" s="37"/>
    </row>
    <row r="485">
      <c r="C485" s="37"/>
    </row>
    <row r="486">
      <c r="C486" s="37"/>
    </row>
    <row r="487">
      <c r="C487" s="37"/>
    </row>
    <row r="488">
      <c r="C488" s="37"/>
    </row>
    <row r="489">
      <c r="C489" s="37"/>
    </row>
    <row r="490">
      <c r="C490" s="37"/>
    </row>
    <row r="491">
      <c r="C491" s="37"/>
    </row>
    <row r="492">
      <c r="C492" s="37"/>
    </row>
    <row r="493">
      <c r="C493" s="37"/>
    </row>
    <row r="494">
      <c r="C494" s="37"/>
    </row>
    <row r="495">
      <c r="C495" s="37"/>
    </row>
    <row r="496">
      <c r="C496" s="37"/>
    </row>
    <row r="497">
      <c r="C497" s="37"/>
    </row>
    <row r="498">
      <c r="C498" s="37"/>
    </row>
    <row r="499">
      <c r="C499" s="37"/>
    </row>
    <row r="500">
      <c r="C500" s="37"/>
    </row>
    <row r="501">
      <c r="C501" s="37"/>
    </row>
    <row r="502">
      <c r="C502" s="37"/>
    </row>
    <row r="503">
      <c r="C503" s="37"/>
    </row>
    <row r="504">
      <c r="C504" s="37"/>
    </row>
    <row r="505">
      <c r="C505" s="37"/>
    </row>
    <row r="506">
      <c r="C506" s="37"/>
    </row>
    <row r="507">
      <c r="C507" s="37"/>
    </row>
    <row r="508">
      <c r="C508" s="37"/>
    </row>
    <row r="509">
      <c r="C509" s="37"/>
    </row>
    <row r="510">
      <c r="C510" s="37"/>
    </row>
    <row r="511">
      <c r="C511" s="37"/>
    </row>
    <row r="512">
      <c r="C512" s="37"/>
    </row>
    <row r="513">
      <c r="C513" s="37"/>
    </row>
    <row r="514">
      <c r="C514" s="37"/>
    </row>
    <row r="515">
      <c r="C515" s="37"/>
    </row>
    <row r="516">
      <c r="C516" s="37"/>
    </row>
    <row r="517">
      <c r="C517" s="37"/>
    </row>
    <row r="518">
      <c r="C518" s="37"/>
    </row>
    <row r="519">
      <c r="C519" s="37"/>
    </row>
    <row r="520">
      <c r="C520" s="37"/>
    </row>
    <row r="521">
      <c r="C521" s="37"/>
    </row>
    <row r="522">
      <c r="C522" s="37"/>
    </row>
    <row r="523">
      <c r="C523" s="37"/>
    </row>
    <row r="524">
      <c r="C524" s="37"/>
    </row>
    <row r="525">
      <c r="C525" s="37"/>
    </row>
    <row r="526">
      <c r="C526" s="37"/>
    </row>
    <row r="527">
      <c r="C527" s="37"/>
    </row>
    <row r="528">
      <c r="C528" s="37"/>
    </row>
    <row r="529">
      <c r="C529" s="37"/>
    </row>
    <row r="530">
      <c r="C530" s="37"/>
    </row>
    <row r="531">
      <c r="C531" s="37"/>
    </row>
    <row r="532">
      <c r="C532" s="37"/>
    </row>
    <row r="533">
      <c r="C533" s="37"/>
    </row>
    <row r="534">
      <c r="C534" s="37"/>
    </row>
    <row r="535">
      <c r="C535" s="37"/>
    </row>
    <row r="536">
      <c r="C536" s="37"/>
    </row>
    <row r="537">
      <c r="C537" s="37"/>
    </row>
    <row r="538">
      <c r="C538" s="37"/>
    </row>
    <row r="539">
      <c r="C539" s="37"/>
    </row>
    <row r="540">
      <c r="C540" s="37"/>
    </row>
    <row r="541">
      <c r="C541" s="37"/>
    </row>
    <row r="542">
      <c r="C542" s="37"/>
    </row>
    <row r="543">
      <c r="C543" s="37"/>
    </row>
    <row r="544">
      <c r="C544" s="37"/>
    </row>
    <row r="545">
      <c r="C545" s="37"/>
    </row>
    <row r="546">
      <c r="C546" s="37"/>
    </row>
    <row r="547">
      <c r="C547" s="37"/>
    </row>
    <row r="548">
      <c r="C548" s="37"/>
    </row>
    <row r="549">
      <c r="C549" s="37"/>
    </row>
    <row r="550">
      <c r="C550" s="37"/>
    </row>
    <row r="551">
      <c r="C551" s="37"/>
    </row>
    <row r="552">
      <c r="C552" s="37"/>
    </row>
    <row r="553">
      <c r="C553" s="37"/>
    </row>
    <row r="554">
      <c r="C554" s="37"/>
    </row>
    <row r="555">
      <c r="C555" s="37"/>
    </row>
    <row r="556">
      <c r="C556" s="37"/>
    </row>
    <row r="557">
      <c r="C557" s="37"/>
    </row>
    <row r="558">
      <c r="C558" s="37"/>
    </row>
    <row r="559">
      <c r="C559" s="37"/>
    </row>
    <row r="560">
      <c r="C560" s="37"/>
    </row>
    <row r="561">
      <c r="C561" s="37"/>
    </row>
    <row r="562">
      <c r="C562" s="37"/>
    </row>
    <row r="563">
      <c r="C563" s="37"/>
    </row>
    <row r="564">
      <c r="C564" s="37"/>
    </row>
    <row r="565">
      <c r="C565" s="37"/>
    </row>
    <row r="566">
      <c r="C566" s="37"/>
    </row>
    <row r="567">
      <c r="C567" s="37"/>
    </row>
    <row r="568">
      <c r="C568" s="37"/>
    </row>
    <row r="569">
      <c r="C569" s="37"/>
    </row>
    <row r="570">
      <c r="C570" s="37"/>
    </row>
    <row r="571">
      <c r="C571" s="37"/>
    </row>
    <row r="572">
      <c r="C572" s="37"/>
    </row>
    <row r="573">
      <c r="C573" s="37"/>
    </row>
    <row r="574">
      <c r="C574" s="37"/>
    </row>
    <row r="575">
      <c r="C575" s="37"/>
    </row>
    <row r="576">
      <c r="C576" s="37"/>
    </row>
    <row r="577">
      <c r="C577" s="37"/>
    </row>
    <row r="578">
      <c r="C578" s="37"/>
    </row>
    <row r="579">
      <c r="C579" s="37"/>
    </row>
    <row r="580">
      <c r="C580" s="37"/>
    </row>
    <row r="581">
      <c r="C581" s="37"/>
    </row>
    <row r="582">
      <c r="C582" s="37"/>
    </row>
    <row r="583">
      <c r="C583" s="37"/>
    </row>
    <row r="584">
      <c r="C584" s="37"/>
    </row>
    <row r="585">
      <c r="C585" s="37"/>
    </row>
    <row r="586">
      <c r="C586" s="37"/>
    </row>
    <row r="587">
      <c r="C587" s="37"/>
    </row>
    <row r="588">
      <c r="C588" s="37"/>
    </row>
    <row r="589">
      <c r="C589" s="37"/>
    </row>
    <row r="590">
      <c r="C590" s="37"/>
    </row>
    <row r="591">
      <c r="C591" s="37"/>
    </row>
    <row r="592">
      <c r="C592" s="37"/>
    </row>
    <row r="593">
      <c r="C593" s="37"/>
    </row>
    <row r="594">
      <c r="C594" s="37"/>
    </row>
    <row r="595">
      <c r="C595" s="37"/>
    </row>
    <row r="596">
      <c r="C596" s="37"/>
    </row>
    <row r="597">
      <c r="C597" s="37"/>
    </row>
    <row r="598">
      <c r="C598" s="37"/>
    </row>
    <row r="599">
      <c r="C599" s="37"/>
    </row>
    <row r="600">
      <c r="C600" s="37"/>
    </row>
    <row r="601">
      <c r="C601" s="37"/>
    </row>
    <row r="602">
      <c r="C602" s="37"/>
    </row>
    <row r="603">
      <c r="C603" s="37"/>
    </row>
    <row r="604">
      <c r="C604" s="37"/>
    </row>
    <row r="605">
      <c r="C605" s="37"/>
    </row>
    <row r="606">
      <c r="C606" s="37"/>
    </row>
    <row r="607">
      <c r="C607" s="37"/>
    </row>
    <row r="608">
      <c r="C608" s="37"/>
    </row>
    <row r="609">
      <c r="C609" s="37"/>
    </row>
    <row r="610">
      <c r="C610" s="37"/>
    </row>
    <row r="611">
      <c r="C611" s="37"/>
    </row>
    <row r="612">
      <c r="C612" s="37"/>
    </row>
    <row r="613">
      <c r="C613" s="37"/>
    </row>
    <row r="614">
      <c r="C614" s="37"/>
    </row>
    <row r="615">
      <c r="C615" s="37"/>
    </row>
    <row r="616">
      <c r="C616" s="37"/>
    </row>
    <row r="617">
      <c r="C617" s="37"/>
    </row>
    <row r="618">
      <c r="C618" s="37"/>
    </row>
    <row r="619">
      <c r="C619" s="37"/>
    </row>
    <row r="620">
      <c r="C620" s="37"/>
    </row>
    <row r="621">
      <c r="C621" s="37"/>
    </row>
    <row r="622">
      <c r="C622" s="37"/>
    </row>
    <row r="623">
      <c r="C623" s="37"/>
    </row>
    <row r="624">
      <c r="C624" s="37"/>
    </row>
    <row r="625">
      <c r="C625" s="37"/>
    </row>
    <row r="626">
      <c r="C626" s="37"/>
    </row>
    <row r="627">
      <c r="C627" s="37"/>
    </row>
    <row r="628">
      <c r="C628" s="37"/>
    </row>
    <row r="629">
      <c r="C629" s="37"/>
    </row>
    <row r="630">
      <c r="C630" s="37"/>
    </row>
    <row r="631">
      <c r="C631" s="37"/>
    </row>
    <row r="632">
      <c r="C632" s="37"/>
    </row>
    <row r="633">
      <c r="C633" s="37"/>
    </row>
    <row r="634">
      <c r="C634" s="37"/>
    </row>
    <row r="635">
      <c r="C635" s="37"/>
    </row>
    <row r="636">
      <c r="C636" s="37"/>
    </row>
    <row r="637">
      <c r="C637" s="37"/>
    </row>
    <row r="638">
      <c r="C638" s="37"/>
    </row>
    <row r="639">
      <c r="C639" s="37"/>
    </row>
    <row r="640">
      <c r="C640" s="37"/>
    </row>
    <row r="641">
      <c r="C641" s="37"/>
    </row>
    <row r="642">
      <c r="C642" s="37"/>
    </row>
    <row r="643">
      <c r="C643" s="37"/>
    </row>
    <row r="644">
      <c r="C644" s="37"/>
    </row>
    <row r="645">
      <c r="C645" s="37"/>
    </row>
    <row r="646">
      <c r="C646" s="37"/>
    </row>
    <row r="647">
      <c r="C647" s="37"/>
    </row>
    <row r="648">
      <c r="C648" s="37"/>
    </row>
    <row r="649">
      <c r="C649" s="37"/>
    </row>
    <row r="650">
      <c r="C650" s="37"/>
    </row>
    <row r="651">
      <c r="C651" s="37"/>
    </row>
    <row r="652">
      <c r="C652" s="37"/>
    </row>
    <row r="653">
      <c r="C653" s="37"/>
    </row>
    <row r="654">
      <c r="C654" s="37"/>
    </row>
    <row r="655">
      <c r="C655" s="37"/>
    </row>
    <row r="656">
      <c r="C656" s="37"/>
    </row>
    <row r="657">
      <c r="C657" s="37"/>
    </row>
    <row r="658">
      <c r="C658" s="37"/>
    </row>
    <row r="659">
      <c r="C659" s="37"/>
    </row>
    <row r="660">
      <c r="C660" s="37"/>
    </row>
    <row r="661">
      <c r="C661" s="37"/>
    </row>
    <row r="662">
      <c r="C662" s="37"/>
    </row>
    <row r="663">
      <c r="C663" s="37"/>
    </row>
    <row r="664">
      <c r="C664" s="37"/>
    </row>
    <row r="665">
      <c r="C665" s="37"/>
    </row>
    <row r="666">
      <c r="C666" s="37"/>
    </row>
    <row r="667">
      <c r="C667" s="37"/>
    </row>
    <row r="668">
      <c r="C668" s="37"/>
    </row>
    <row r="669">
      <c r="C669" s="37"/>
    </row>
    <row r="670">
      <c r="C670" s="37"/>
    </row>
    <row r="671">
      <c r="C671" s="37"/>
    </row>
    <row r="672">
      <c r="C672" s="37"/>
    </row>
    <row r="673">
      <c r="C673" s="37"/>
    </row>
    <row r="674">
      <c r="C674" s="37"/>
    </row>
    <row r="675">
      <c r="C675" s="37"/>
    </row>
    <row r="676">
      <c r="C676" s="37"/>
    </row>
    <row r="677">
      <c r="C677" s="37"/>
    </row>
    <row r="678">
      <c r="C678" s="37"/>
    </row>
    <row r="679">
      <c r="C679" s="37"/>
    </row>
    <row r="680">
      <c r="C680" s="37"/>
    </row>
    <row r="681">
      <c r="C681" s="37"/>
    </row>
    <row r="682">
      <c r="C682" s="37"/>
    </row>
    <row r="683">
      <c r="C683" s="37"/>
    </row>
    <row r="684">
      <c r="C684" s="37"/>
    </row>
    <row r="685">
      <c r="C685" s="37"/>
    </row>
    <row r="686">
      <c r="C686" s="37"/>
    </row>
    <row r="687">
      <c r="C687" s="37"/>
    </row>
    <row r="688">
      <c r="C688" s="37"/>
    </row>
    <row r="689">
      <c r="C689" s="37"/>
    </row>
    <row r="690">
      <c r="C690" s="37"/>
    </row>
    <row r="691">
      <c r="C691" s="37"/>
    </row>
    <row r="692">
      <c r="C692" s="37"/>
    </row>
    <row r="693">
      <c r="C693" s="37"/>
    </row>
    <row r="694">
      <c r="C694" s="37"/>
    </row>
    <row r="695">
      <c r="C695" s="37"/>
    </row>
    <row r="696">
      <c r="C696" s="37"/>
    </row>
    <row r="697">
      <c r="C697" s="37"/>
    </row>
    <row r="698">
      <c r="C698" s="37"/>
    </row>
    <row r="699">
      <c r="C699" s="37"/>
    </row>
    <row r="700">
      <c r="C700" s="37"/>
    </row>
    <row r="701">
      <c r="C701" s="37"/>
    </row>
    <row r="702">
      <c r="C702" s="37"/>
    </row>
    <row r="703">
      <c r="C703" s="37"/>
    </row>
    <row r="704">
      <c r="C704" s="37"/>
    </row>
    <row r="705">
      <c r="C705" s="37"/>
    </row>
    <row r="706">
      <c r="C706" s="37"/>
    </row>
    <row r="707">
      <c r="C707" s="37"/>
    </row>
    <row r="708">
      <c r="C708" s="37"/>
    </row>
    <row r="709">
      <c r="C709" s="37"/>
    </row>
    <row r="710">
      <c r="C710" s="37"/>
    </row>
    <row r="711">
      <c r="C711" s="37"/>
    </row>
    <row r="712">
      <c r="C712" s="37"/>
    </row>
    <row r="713">
      <c r="C713" s="37"/>
    </row>
    <row r="714">
      <c r="C714" s="37"/>
    </row>
    <row r="715">
      <c r="C715" s="37"/>
    </row>
    <row r="716">
      <c r="C716" s="37"/>
    </row>
    <row r="717">
      <c r="C717" s="37"/>
    </row>
    <row r="718">
      <c r="C718" s="37"/>
    </row>
    <row r="719">
      <c r="C719" s="37"/>
    </row>
    <row r="720">
      <c r="C720" s="37"/>
    </row>
    <row r="721">
      <c r="C721" s="37"/>
    </row>
    <row r="722">
      <c r="C722" s="37"/>
    </row>
    <row r="723">
      <c r="C723" s="37"/>
    </row>
    <row r="724">
      <c r="C724" s="37"/>
    </row>
    <row r="725">
      <c r="C725" s="37"/>
    </row>
    <row r="726">
      <c r="C726" s="37"/>
    </row>
    <row r="727">
      <c r="C727" s="37"/>
    </row>
    <row r="728">
      <c r="C728" s="37"/>
    </row>
    <row r="729">
      <c r="C729" s="37"/>
    </row>
    <row r="730">
      <c r="C730" s="37"/>
    </row>
    <row r="731">
      <c r="C731" s="37"/>
    </row>
    <row r="732">
      <c r="C732" s="37"/>
    </row>
    <row r="733">
      <c r="C733" s="37"/>
    </row>
    <row r="734">
      <c r="C734" s="37"/>
    </row>
    <row r="735">
      <c r="C735" s="37"/>
    </row>
    <row r="736">
      <c r="C736" s="37"/>
    </row>
    <row r="737">
      <c r="C737" s="37"/>
    </row>
    <row r="738">
      <c r="C738" s="37"/>
    </row>
    <row r="739">
      <c r="C739" s="37"/>
    </row>
    <row r="740">
      <c r="C740" s="37"/>
    </row>
    <row r="741">
      <c r="C741" s="37"/>
    </row>
    <row r="742">
      <c r="C742" s="37"/>
    </row>
    <row r="743">
      <c r="C743" s="37"/>
    </row>
    <row r="744">
      <c r="C744" s="37"/>
    </row>
    <row r="745">
      <c r="C745" s="37"/>
    </row>
    <row r="746">
      <c r="C746" s="37"/>
    </row>
    <row r="747">
      <c r="C747" s="37"/>
    </row>
    <row r="748">
      <c r="C748" s="37"/>
    </row>
    <row r="749">
      <c r="C749" s="37"/>
    </row>
    <row r="750">
      <c r="C750" s="37"/>
    </row>
    <row r="751">
      <c r="C751" s="37"/>
    </row>
    <row r="752">
      <c r="C752" s="37"/>
    </row>
    <row r="753">
      <c r="C753" s="37"/>
    </row>
    <row r="754">
      <c r="C754" s="37"/>
    </row>
    <row r="755">
      <c r="C755" s="37"/>
    </row>
    <row r="756">
      <c r="C756" s="37"/>
    </row>
    <row r="757">
      <c r="C757" s="37"/>
    </row>
    <row r="758">
      <c r="C758" s="37"/>
    </row>
    <row r="759">
      <c r="C759" s="37"/>
    </row>
    <row r="760">
      <c r="C760" s="37"/>
    </row>
    <row r="761">
      <c r="C761" s="37"/>
    </row>
    <row r="762">
      <c r="C762" s="37"/>
    </row>
    <row r="763">
      <c r="C763" s="37"/>
    </row>
    <row r="764">
      <c r="C764" s="37"/>
    </row>
    <row r="765">
      <c r="C765" s="37"/>
    </row>
    <row r="766">
      <c r="C766" s="37"/>
    </row>
    <row r="767">
      <c r="C767" s="37"/>
    </row>
    <row r="768">
      <c r="C768" s="37"/>
    </row>
    <row r="769">
      <c r="C769" s="37"/>
    </row>
    <row r="770">
      <c r="C770" s="37"/>
    </row>
    <row r="771">
      <c r="C771" s="37"/>
    </row>
    <row r="772">
      <c r="C772" s="37"/>
    </row>
    <row r="773">
      <c r="C773" s="37"/>
    </row>
    <row r="774">
      <c r="C774" s="37"/>
    </row>
    <row r="775">
      <c r="C775" s="37"/>
    </row>
    <row r="776">
      <c r="C776" s="37"/>
    </row>
    <row r="777">
      <c r="C777" s="37"/>
    </row>
    <row r="778">
      <c r="C778" s="37"/>
    </row>
    <row r="779">
      <c r="C779" s="37"/>
    </row>
    <row r="780">
      <c r="C780" s="37"/>
    </row>
    <row r="781">
      <c r="C781" s="37"/>
    </row>
    <row r="782">
      <c r="C782" s="37"/>
    </row>
    <row r="783">
      <c r="C783" s="37"/>
    </row>
    <row r="784">
      <c r="C784" s="37"/>
    </row>
    <row r="785">
      <c r="C785" s="37"/>
    </row>
    <row r="786">
      <c r="C786" s="37"/>
    </row>
    <row r="787">
      <c r="C787" s="37"/>
    </row>
    <row r="788">
      <c r="C788" s="37"/>
    </row>
    <row r="789">
      <c r="C789" s="37"/>
    </row>
    <row r="790">
      <c r="C790" s="37"/>
    </row>
    <row r="791">
      <c r="C791" s="37"/>
    </row>
    <row r="792">
      <c r="C792" s="37"/>
    </row>
    <row r="793">
      <c r="C793" s="37"/>
    </row>
    <row r="794">
      <c r="C794" s="37"/>
    </row>
    <row r="795">
      <c r="C795" s="37"/>
    </row>
    <row r="796">
      <c r="C796" s="37"/>
    </row>
    <row r="797">
      <c r="C797" s="37"/>
    </row>
    <row r="798">
      <c r="C798" s="37"/>
    </row>
    <row r="799">
      <c r="C799" s="37"/>
    </row>
    <row r="800">
      <c r="C800" s="37"/>
    </row>
    <row r="801">
      <c r="C801" s="37"/>
    </row>
    <row r="802">
      <c r="C802" s="37"/>
    </row>
    <row r="803">
      <c r="C803" s="37"/>
    </row>
    <row r="804">
      <c r="C804" s="37"/>
    </row>
    <row r="805">
      <c r="C805" s="37"/>
    </row>
    <row r="806">
      <c r="C806" s="37"/>
    </row>
    <row r="807">
      <c r="C807" s="37"/>
    </row>
    <row r="808">
      <c r="C808" s="37"/>
    </row>
    <row r="809">
      <c r="C809" s="37"/>
    </row>
    <row r="810">
      <c r="C810" s="37"/>
    </row>
    <row r="811">
      <c r="C811" s="37"/>
    </row>
    <row r="812">
      <c r="C812" s="37"/>
    </row>
    <row r="813">
      <c r="C813" s="37"/>
    </row>
    <row r="814">
      <c r="C814" s="37"/>
    </row>
    <row r="815">
      <c r="C815" s="37"/>
    </row>
    <row r="816">
      <c r="C816" s="37"/>
    </row>
    <row r="817">
      <c r="C817" s="37"/>
    </row>
    <row r="818">
      <c r="C818" s="37"/>
    </row>
    <row r="819">
      <c r="C819" s="37"/>
    </row>
    <row r="820">
      <c r="C820" s="37"/>
    </row>
    <row r="821">
      <c r="C821" s="37"/>
    </row>
    <row r="822">
      <c r="C822" s="37"/>
    </row>
    <row r="823">
      <c r="C823" s="37"/>
    </row>
    <row r="824">
      <c r="C824" s="37"/>
    </row>
    <row r="825">
      <c r="C825" s="37"/>
    </row>
    <row r="826">
      <c r="C826" s="37"/>
    </row>
    <row r="827">
      <c r="C827" s="37"/>
    </row>
    <row r="828">
      <c r="C828" s="37"/>
    </row>
    <row r="829">
      <c r="C829" s="37"/>
    </row>
    <row r="830">
      <c r="C830" s="37"/>
    </row>
    <row r="831">
      <c r="C831" s="37"/>
    </row>
    <row r="832">
      <c r="C832" s="37"/>
    </row>
    <row r="833">
      <c r="C833" s="37"/>
    </row>
    <row r="834">
      <c r="C834" s="37"/>
    </row>
    <row r="835">
      <c r="C835" s="37"/>
    </row>
    <row r="836">
      <c r="C836" s="37"/>
    </row>
    <row r="837">
      <c r="C837" s="37"/>
    </row>
    <row r="838">
      <c r="C838" s="37"/>
    </row>
    <row r="839">
      <c r="C839" s="37"/>
    </row>
    <row r="840">
      <c r="C840" s="37"/>
    </row>
    <row r="841">
      <c r="C841" s="37"/>
    </row>
    <row r="842">
      <c r="C842" s="37"/>
    </row>
    <row r="843">
      <c r="C843" s="37"/>
    </row>
    <row r="844">
      <c r="C844" s="37"/>
    </row>
    <row r="845">
      <c r="C845" s="37"/>
    </row>
    <row r="846">
      <c r="C846" s="37"/>
    </row>
    <row r="847">
      <c r="C847" s="37"/>
    </row>
    <row r="848">
      <c r="C848" s="37"/>
    </row>
    <row r="849">
      <c r="C849" s="37"/>
    </row>
    <row r="850">
      <c r="C850" s="37"/>
    </row>
    <row r="851">
      <c r="C851" s="37"/>
    </row>
    <row r="852">
      <c r="C852" s="37"/>
    </row>
    <row r="853">
      <c r="C853" s="37"/>
    </row>
    <row r="854">
      <c r="C854" s="37"/>
    </row>
    <row r="855">
      <c r="C855" s="37"/>
    </row>
    <row r="856">
      <c r="C856" s="37"/>
    </row>
    <row r="857">
      <c r="C857" s="37"/>
    </row>
    <row r="858">
      <c r="C858" s="37"/>
    </row>
    <row r="859">
      <c r="C859" s="37"/>
    </row>
    <row r="860">
      <c r="C860" s="37"/>
    </row>
    <row r="861">
      <c r="C861" s="37"/>
    </row>
    <row r="862">
      <c r="C862" s="37"/>
    </row>
    <row r="863">
      <c r="C863" s="37"/>
    </row>
    <row r="864">
      <c r="C864" s="37"/>
    </row>
    <row r="865">
      <c r="C865" s="37"/>
    </row>
    <row r="866">
      <c r="C866" s="37"/>
    </row>
    <row r="867">
      <c r="C867" s="37"/>
    </row>
    <row r="868">
      <c r="C868" s="37"/>
    </row>
    <row r="869">
      <c r="C869" s="37"/>
    </row>
    <row r="870">
      <c r="C870" s="37"/>
    </row>
    <row r="871">
      <c r="C871" s="37"/>
    </row>
    <row r="872">
      <c r="C872" s="37"/>
    </row>
    <row r="873">
      <c r="C873" s="37"/>
    </row>
    <row r="874">
      <c r="C874" s="37"/>
    </row>
    <row r="875">
      <c r="C875" s="37"/>
    </row>
    <row r="876">
      <c r="C876" s="37"/>
    </row>
    <row r="877">
      <c r="C877" s="37"/>
    </row>
    <row r="878">
      <c r="C878" s="37"/>
    </row>
    <row r="879">
      <c r="C879" s="37"/>
    </row>
    <row r="880">
      <c r="C880" s="37"/>
    </row>
    <row r="881">
      <c r="C881" s="37"/>
    </row>
    <row r="882">
      <c r="C882" s="37"/>
    </row>
    <row r="883">
      <c r="C883" s="37"/>
    </row>
    <row r="884">
      <c r="C884" s="37"/>
    </row>
    <row r="885">
      <c r="C885" s="37"/>
    </row>
    <row r="886">
      <c r="C886" s="37"/>
    </row>
    <row r="887">
      <c r="C887" s="37"/>
    </row>
    <row r="888">
      <c r="C888" s="37"/>
    </row>
    <row r="889">
      <c r="C889" s="37"/>
    </row>
    <row r="890">
      <c r="C890" s="37"/>
    </row>
    <row r="891">
      <c r="C891" s="37"/>
    </row>
    <row r="892">
      <c r="C892" s="37"/>
    </row>
    <row r="893">
      <c r="C893" s="37"/>
    </row>
    <row r="894">
      <c r="C894" s="37"/>
    </row>
    <row r="895">
      <c r="C895" s="37"/>
    </row>
    <row r="896">
      <c r="C896" s="37"/>
    </row>
    <row r="897">
      <c r="C897" s="37"/>
    </row>
    <row r="898">
      <c r="C898" s="37"/>
    </row>
    <row r="899">
      <c r="C899" s="37"/>
    </row>
    <row r="900">
      <c r="C900" s="37"/>
    </row>
    <row r="901">
      <c r="C901" s="37"/>
    </row>
    <row r="902">
      <c r="C902" s="37"/>
    </row>
    <row r="903">
      <c r="C903" s="37"/>
    </row>
    <row r="904">
      <c r="C904" s="37"/>
    </row>
    <row r="905">
      <c r="C905" s="37"/>
    </row>
    <row r="906">
      <c r="C906" s="37"/>
    </row>
    <row r="907">
      <c r="C907" s="37"/>
    </row>
    <row r="908">
      <c r="C908" s="37"/>
    </row>
    <row r="909">
      <c r="C909" s="37"/>
    </row>
    <row r="910">
      <c r="C910" s="37"/>
    </row>
    <row r="911">
      <c r="C911" s="37"/>
    </row>
    <row r="912">
      <c r="C912" s="37"/>
    </row>
    <row r="913">
      <c r="C913" s="37"/>
    </row>
    <row r="914">
      <c r="C914" s="37"/>
    </row>
    <row r="915">
      <c r="C915" s="37"/>
    </row>
    <row r="916">
      <c r="C916" s="37"/>
    </row>
    <row r="917">
      <c r="C917" s="37"/>
    </row>
    <row r="918">
      <c r="C918" s="37"/>
    </row>
    <row r="919">
      <c r="C919" s="37"/>
    </row>
    <row r="920">
      <c r="C920" s="37"/>
    </row>
    <row r="921">
      <c r="C921" s="37"/>
    </row>
    <row r="922">
      <c r="C922" s="37"/>
    </row>
    <row r="923">
      <c r="C923" s="37"/>
    </row>
    <row r="924">
      <c r="C924" s="37"/>
    </row>
    <row r="925">
      <c r="C925" s="37"/>
    </row>
    <row r="926">
      <c r="C926" s="37"/>
    </row>
    <row r="927">
      <c r="C927" s="37"/>
    </row>
    <row r="928">
      <c r="C928" s="37"/>
    </row>
    <row r="929">
      <c r="C929" s="37"/>
    </row>
    <row r="930">
      <c r="C930" s="37"/>
    </row>
    <row r="931">
      <c r="C931" s="37"/>
    </row>
    <row r="932">
      <c r="C932" s="37"/>
    </row>
    <row r="933">
      <c r="C933" s="37"/>
    </row>
    <row r="934">
      <c r="C934" s="37"/>
    </row>
    <row r="935">
      <c r="C935" s="37"/>
    </row>
    <row r="936">
      <c r="C936" s="37"/>
    </row>
    <row r="937">
      <c r="C937" s="37"/>
    </row>
    <row r="938">
      <c r="C938" s="37"/>
    </row>
    <row r="939">
      <c r="C939" s="37"/>
    </row>
    <row r="940">
      <c r="C940" s="37"/>
    </row>
    <row r="941">
      <c r="C941" s="37"/>
    </row>
    <row r="942">
      <c r="C942" s="37"/>
    </row>
    <row r="943">
      <c r="C943" s="37"/>
    </row>
    <row r="944">
      <c r="C944" s="37"/>
    </row>
    <row r="945">
      <c r="C945" s="37"/>
    </row>
    <row r="946">
      <c r="C946" s="37"/>
    </row>
    <row r="947">
      <c r="C947" s="37"/>
    </row>
    <row r="948">
      <c r="C948" s="37"/>
    </row>
    <row r="949">
      <c r="C949" s="37"/>
    </row>
    <row r="950">
      <c r="C950" s="37"/>
    </row>
    <row r="951">
      <c r="C951" s="37"/>
    </row>
    <row r="952">
      <c r="C952" s="37"/>
    </row>
    <row r="953">
      <c r="C953" s="37"/>
    </row>
    <row r="954">
      <c r="C954" s="37"/>
    </row>
    <row r="955">
      <c r="C955" s="37"/>
    </row>
    <row r="956">
      <c r="C956" s="37"/>
    </row>
    <row r="957">
      <c r="C957" s="37"/>
    </row>
    <row r="958">
      <c r="C958" s="37"/>
    </row>
    <row r="959">
      <c r="C959" s="37"/>
    </row>
    <row r="960">
      <c r="C960" s="37"/>
    </row>
    <row r="961">
      <c r="C961" s="37"/>
    </row>
    <row r="962">
      <c r="C962" s="37"/>
    </row>
    <row r="963">
      <c r="C963" s="37"/>
    </row>
    <row r="964">
      <c r="C964" s="37"/>
    </row>
    <row r="965">
      <c r="C965" s="37"/>
    </row>
    <row r="966">
      <c r="C966" s="37"/>
    </row>
    <row r="967">
      <c r="C967" s="37"/>
    </row>
    <row r="968">
      <c r="C968" s="37"/>
    </row>
    <row r="969">
      <c r="C969" s="37"/>
    </row>
    <row r="970">
      <c r="C970" s="37"/>
    </row>
    <row r="971">
      <c r="C971" s="37"/>
    </row>
    <row r="972">
      <c r="C972" s="37"/>
    </row>
    <row r="973">
      <c r="C973" s="37"/>
    </row>
    <row r="974">
      <c r="C974" s="37"/>
    </row>
    <row r="975">
      <c r="C975" s="37"/>
    </row>
    <row r="976">
      <c r="C976" s="37"/>
    </row>
    <row r="977">
      <c r="C977" s="37"/>
    </row>
    <row r="978">
      <c r="C978" s="37"/>
    </row>
    <row r="979">
      <c r="C979" s="37"/>
    </row>
    <row r="980">
      <c r="C980" s="37"/>
    </row>
    <row r="981">
      <c r="C981" s="37"/>
    </row>
    <row r="982">
      <c r="C982" s="37"/>
    </row>
    <row r="983">
      <c r="C983" s="37"/>
    </row>
    <row r="984">
      <c r="C984" s="37"/>
    </row>
    <row r="985">
      <c r="C985" s="37"/>
    </row>
    <row r="986">
      <c r="C986" s="37"/>
    </row>
    <row r="987">
      <c r="C987" s="37"/>
    </row>
    <row r="988">
      <c r="C988" s="37"/>
    </row>
    <row r="989">
      <c r="C989" s="37"/>
    </row>
    <row r="990">
      <c r="C990" s="37"/>
    </row>
    <row r="991">
      <c r="C991" s="37"/>
    </row>
    <row r="992">
      <c r="C992" s="37"/>
    </row>
    <row r="993">
      <c r="C993" s="37"/>
    </row>
    <row r="994">
      <c r="C994" s="37"/>
    </row>
    <row r="995">
      <c r="C995" s="37"/>
    </row>
    <row r="996">
      <c r="C996" s="37"/>
    </row>
    <row r="997">
      <c r="C997" s="37"/>
    </row>
    <row r="998">
      <c r="C998" s="37"/>
    </row>
    <row r="999">
      <c r="C999" s="37"/>
    </row>
    <row r="1000">
      <c r="C1000" s="37"/>
    </row>
    <row r="1001">
      <c r="C1001" s="37"/>
    </row>
    <row r="1002">
      <c r="C1002" s="37"/>
    </row>
    <row r="1003">
      <c r="C1003" s="37"/>
    </row>
    <row r="1004">
      <c r="C1004" s="37"/>
    </row>
    <row r="1005">
      <c r="C1005" s="37"/>
    </row>
    <row r="1006">
      <c r="C1006" s="37"/>
    </row>
    <row r="1007">
      <c r="C1007" s="37"/>
    </row>
    <row r="1008">
      <c r="C1008" s="37"/>
    </row>
    <row r="1009">
      <c r="C1009" s="37"/>
    </row>
    <row r="1010">
      <c r="C1010" s="37"/>
    </row>
    <row r="1011">
      <c r="C1011" s="37"/>
    </row>
    <row r="1012">
      <c r="C1012" s="37"/>
    </row>
    <row r="1013">
      <c r="C1013" s="37"/>
    </row>
    <row r="1014">
      <c r="C1014" s="37"/>
    </row>
    <row r="1015">
      <c r="C1015" s="37"/>
    </row>
    <row r="1016">
      <c r="C1016" s="37"/>
    </row>
    <row r="1017">
      <c r="C1017" s="37"/>
    </row>
    <row r="1018">
      <c r="C1018" s="37"/>
    </row>
    <row r="1019">
      <c r="C1019" s="37"/>
    </row>
    <row r="1020">
      <c r="C1020" s="37"/>
    </row>
    <row r="1021">
      <c r="C1021" s="37"/>
    </row>
    <row r="1022">
      <c r="C1022" s="37"/>
    </row>
    <row r="1023">
      <c r="C1023" s="37"/>
    </row>
    <row r="1024">
      <c r="C1024" s="37"/>
    </row>
    <row r="1025">
      <c r="C1025" s="37"/>
    </row>
    <row r="1026">
      <c r="C1026" s="37"/>
    </row>
    <row r="1027">
      <c r="C1027" s="37"/>
    </row>
    <row r="1028">
      <c r="C1028" s="37"/>
    </row>
    <row r="1029">
      <c r="C1029" s="37"/>
    </row>
    <row r="1030">
      <c r="C1030" s="37"/>
    </row>
    <row r="1031">
      <c r="C1031" s="37"/>
    </row>
    <row r="1032">
      <c r="C1032" s="37"/>
    </row>
    <row r="1033">
      <c r="C1033" s="37"/>
    </row>
    <row r="1034">
      <c r="C1034" s="37"/>
    </row>
    <row r="1035">
      <c r="C1035" s="3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7.13"/>
    <col customWidth="1" min="3" max="3" width="23.63"/>
    <col customWidth="1" min="4" max="5" width="24.13"/>
    <col customWidth="1" min="7" max="7" width="36.25"/>
  </cols>
  <sheetData>
    <row r="1">
      <c r="A1" s="1" t="s">
        <v>0</v>
      </c>
      <c r="B1" s="1" t="s">
        <v>47</v>
      </c>
      <c r="C1" s="1" t="s">
        <v>1</v>
      </c>
      <c r="D1" s="2" t="s">
        <v>2</v>
      </c>
      <c r="E1" s="2" t="s">
        <v>3</v>
      </c>
      <c r="F1" s="38"/>
      <c r="G1" s="38"/>
      <c r="H1" s="38"/>
      <c r="I1" s="38"/>
    </row>
    <row r="2">
      <c r="A2" s="39" t="s">
        <v>81</v>
      </c>
      <c r="B2" s="40" t="s">
        <v>138</v>
      </c>
      <c r="C2" s="41">
        <v>24750.0</v>
      </c>
      <c r="D2" s="42">
        <v>46031.0</v>
      </c>
      <c r="E2" s="4" t="s">
        <v>139</v>
      </c>
      <c r="F2" s="38"/>
      <c r="G2" s="38"/>
      <c r="H2" s="38"/>
      <c r="I2" s="38"/>
    </row>
    <row r="3">
      <c r="A3" s="59" t="s">
        <v>98</v>
      </c>
      <c r="B3" s="43" t="s">
        <v>97</v>
      </c>
      <c r="C3" s="44">
        <v>11900.0</v>
      </c>
      <c r="D3" s="42">
        <v>46033.0</v>
      </c>
      <c r="E3" s="4" t="s">
        <v>120</v>
      </c>
      <c r="F3" s="38"/>
      <c r="G3" s="38"/>
      <c r="H3" s="15" t="s">
        <v>140</v>
      </c>
      <c r="I3" s="38"/>
    </row>
    <row r="4">
      <c r="A4" s="55" t="s">
        <v>96</v>
      </c>
      <c r="B4" s="46" t="s">
        <v>97</v>
      </c>
      <c r="C4" s="44">
        <v>32000.0</v>
      </c>
      <c r="D4" s="42">
        <v>46033.0</v>
      </c>
      <c r="E4" s="4" t="s">
        <v>120</v>
      </c>
      <c r="F4" s="38"/>
      <c r="G4" s="38"/>
      <c r="H4" s="38"/>
      <c r="I4" s="38"/>
    </row>
    <row r="5">
      <c r="A5" s="59" t="s">
        <v>108</v>
      </c>
      <c r="B5" s="46" t="s">
        <v>97</v>
      </c>
      <c r="C5" s="44">
        <v>64000.0</v>
      </c>
      <c r="D5" s="42">
        <v>46034.0</v>
      </c>
      <c r="E5" s="4" t="s">
        <v>120</v>
      </c>
      <c r="F5" s="38"/>
      <c r="G5" s="33"/>
      <c r="H5" s="64">
        <v>1089435.2</v>
      </c>
    </row>
    <row r="6">
      <c r="A6" s="46" t="s">
        <v>101</v>
      </c>
      <c r="B6" s="46" t="s">
        <v>102</v>
      </c>
      <c r="C6" s="44">
        <v>35000.0</v>
      </c>
      <c r="D6" s="42">
        <v>46034.0</v>
      </c>
      <c r="E6" s="4" t="s">
        <v>120</v>
      </c>
      <c r="F6" s="38"/>
      <c r="G6" s="15"/>
      <c r="H6" s="50">
        <v>-0.06</v>
      </c>
      <c r="I6" s="38"/>
    </row>
    <row r="7">
      <c r="A7" s="43" t="s">
        <v>141</v>
      </c>
      <c r="B7" s="43" t="s">
        <v>142</v>
      </c>
      <c r="C7" s="44">
        <v>1500.0</v>
      </c>
      <c r="D7" s="42">
        <v>46034.0</v>
      </c>
      <c r="E7" s="4" t="s">
        <v>143</v>
      </c>
      <c r="F7" s="38"/>
      <c r="G7" s="15"/>
      <c r="H7" s="51">
        <v>1024069.09</v>
      </c>
      <c r="I7" s="38"/>
    </row>
    <row r="8">
      <c r="A8" s="59" t="s">
        <v>118</v>
      </c>
      <c r="B8" s="46" t="s">
        <v>97</v>
      </c>
      <c r="C8" s="44">
        <v>13060.0</v>
      </c>
      <c r="D8" s="42">
        <v>46034.0</v>
      </c>
      <c r="E8" s="4" t="s">
        <v>120</v>
      </c>
      <c r="F8" s="38"/>
      <c r="G8" s="38"/>
      <c r="H8" s="51"/>
      <c r="I8" s="38"/>
    </row>
    <row r="9">
      <c r="A9" s="73" t="s">
        <v>144</v>
      </c>
      <c r="B9" s="46" t="s">
        <v>145</v>
      </c>
      <c r="C9" s="53">
        <v>5000.0</v>
      </c>
      <c r="D9" s="49">
        <v>46035.0</v>
      </c>
      <c r="E9" s="4" t="s">
        <v>120</v>
      </c>
      <c r="F9" s="38"/>
      <c r="G9" s="38"/>
      <c r="H9" s="15"/>
      <c r="I9" s="38"/>
    </row>
    <row r="10">
      <c r="A10" s="73" t="s">
        <v>146</v>
      </c>
      <c r="B10" s="46" t="s">
        <v>145</v>
      </c>
      <c r="C10" s="53">
        <v>11250.0</v>
      </c>
      <c r="D10" s="49">
        <v>46035.0</v>
      </c>
      <c r="E10" s="4" t="s">
        <v>120</v>
      </c>
      <c r="F10" s="38"/>
      <c r="G10" s="38"/>
      <c r="H10" s="15"/>
      <c r="I10" s="38"/>
    </row>
    <row r="11">
      <c r="A11" s="74" t="s">
        <v>147</v>
      </c>
      <c r="B11" s="46" t="s">
        <v>145</v>
      </c>
      <c r="C11" s="53">
        <v>11250.0</v>
      </c>
      <c r="D11" s="49">
        <v>46035.0</v>
      </c>
      <c r="E11" s="4" t="s">
        <v>120</v>
      </c>
      <c r="F11" s="38"/>
      <c r="G11" s="38"/>
      <c r="H11" s="38"/>
      <c r="I11" s="38"/>
    </row>
    <row r="12">
      <c r="A12" s="74" t="s">
        <v>148</v>
      </c>
      <c r="B12" s="46" t="s">
        <v>145</v>
      </c>
      <c r="C12" s="44">
        <v>4000.0</v>
      </c>
      <c r="D12" s="49">
        <v>46035.0</v>
      </c>
      <c r="E12" s="4" t="s">
        <v>120</v>
      </c>
      <c r="F12" s="38"/>
      <c r="G12" s="38"/>
      <c r="H12" s="38"/>
      <c r="I12" s="38"/>
    </row>
    <row r="13">
      <c r="A13" s="73" t="s">
        <v>149</v>
      </c>
      <c r="B13" s="46" t="s">
        <v>145</v>
      </c>
      <c r="C13" s="44">
        <v>11250.0</v>
      </c>
      <c r="D13" s="49">
        <v>46035.0</v>
      </c>
      <c r="E13" s="4" t="s">
        <v>120</v>
      </c>
      <c r="F13" s="38"/>
      <c r="G13" s="57">
        <f>C2+C16+C23+C26+C27+C32+C33+C35+C36+C45</f>
        <v>637911.72</v>
      </c>
      <c r="H13" s="15" t="s">
        <v>19</v>
      </c>
      <c r="I13" s="38"/>
    </row>
    <row r="14">
      <c r="A14" s="74" t="s">
        <v>150</v>
      </c>
      <c r="B14" s="46" t="s">
        <v>145</v>
      </c>
      <c r="C14" s="44">
        <v>11250.0</v>
      </c>
      <c r="D14" s="56">
        <v>46036.0</v>
      </c>
      <c r="E14" s="8" t="s">
        <v>151</v>
      </c>
      <c r="F14" s="38"/>
      <c r="G14" s="57">
        <f>C3+C4+C5+C8+C24+C25+C28+C44</f>
        <v>259920</v>
      </c>
      <c r="H14" s="15" t="s">
        <v>21</v>
      </c>
      <c r="I14" s="38"/>
    </row>
    <row r="15">
      <c r="A15" s="73" t="s">
        <v>152</v>
      </c>
      <c r="B15" s="46" t="s">
        <v>145</v>
      </c>
      <c r="C15" s="44">
        <v>11250.0</v>
      </c>
      <c r="D15" s="56">
        <v>46036.0</v>
      </c>
      <c r="E15" s="4" t="s">
        <v>120</v>
      </c>
      <c r="F15" s="38"/>
      <c r="G15" s="57">
        <f>C6+C7+C34+C37+C39+C40+C41+C42+C43</f>
        <v>190180</v>
      </c>
      <c r="H15" s="21" t="s">
        <v>23</v>
      </c>
      <c r="I15" s="38"/>
    </row>
    <row r="16">
      <c r="A16" s="54" t="s">
        <v>91</v>
      </c>
      <c r="B16" s="46" t="s">
        <v>153</v>
      </c>
      <c r="C16" s="44">
        <v>84547.4</v>
      </c>
      <c r="D16" s="56">
        <v>46037.0</v>
      </c>
      <c r="E16" s="8" t="s">
        <v>154</v>
      </c>
      <c r="F16" s="38"/>
      <c r="G16" s="57">
        <f>C46+C47</f>
        <v>27277.77</v>
      </c>
      <c r="H16" s="15" t="s">
        <v>25</v>
      </c>
      <c r="I16" s="38"/>
    </row>
    <row r="17">
      <c r="A17" s="73" t="s">
        <v>155</v>
      </c>
      <c r="B17" s="46" t="s">
        <v>145</v>
      </c>
      <c r="C17" s="44">
        <v>4000.0</v>
      </c>
      <c r="D17" s="56">
        <v>46037.0</v>
      </c>
      <c r="E17" s="4" t="s">
        <v>120</v>
      </c>
      <c r="F17" s="38"/>
      <c r="G17" s="57">
        <f>C48</f>
        <v>65366.11</v>
      </c>
      <c r="H17" s="15" t="s">
        <v>28</v>
      </c>
      <c r="I17" s="38"/>
    </row>
    <row r="18">
      <c r="A18" s="74" t="s">
        <v>156</v>
      </c>
      <c r="B18" s="46" t="s">
        <v>145</v>
      </c>
      <c r="C18" s="44">
        <v>11250.0</v>
      </c>
      <c r="D18" s="56">
        <v>46037.0</v>
      </c>
      <c r="E18" s="4" t="s">
        <v>120</v>
      </c>
      <c r="F18" s="38"/>
      <c r="G18" s="57">
        <f>C9+C10+C11+C12+C13+C14+C15+C17+C18+C19+C20+C21+C22+C29+C30+C31+C38</f>
        <v>172000</v>
      </c>
      <c r="H18" s="15" t="s">
        <v>157</v>
      </c>
      <c r="I18" s="38"/>
    </row>
    <row r="19">
      <c r="A19" s="74" t="s">
        <v>158</v>
      </c>
      <c r="B19" s="46" t="s">
        <v>145</v>
      </c>
      <c r="C19" s="44">
        <v>11250.0</v>
      </c>
      <c r="D19" s="49">
        <v>46038.0</v>
      </c>
      <c r="E19" s="8" t="s">
        <v>116</v>
      </c>
      <c r="F19" s="38"/>
      <c r="G19" s="57">
        <f>SUM(G13:G17)</f>
        <v>1180655.6</v>
      </c>
      <c r="H19" s="15" t="s">
        <v>159</v>
      </c>
      <c r="I19" s="38"/>
    </row>
    <row r="20">
      <c r="A20" s="74" t="s">
        <v>160</v>
      </c>
      <c r="B20" s="46" t="s">
        <v>145</v>
      </c>
      <c r="C20" s="44">
        <v>11250.0</v>
      </c>
      <c r="D20" s="49">
        <v>46039.0</v>
      </c>
      <c r="E20" s="8" t="s">
        <v>151</v>
      </c>
      <c r="F20" s="38"/>
      <c r="G20" s="57">
        <f>SUM(G13:G18)</f>
        <v>1352655.6</v>
      </c>
      <c r="H20" s="15" t="s">
        <v>161</v>
      </c>
      <c r="I20" s="38"/>
    </row>
    <row r="21">
      <c r="A21" s="74" t="s">
        <v>162</v>
      </c>
      <c r="B21" s="46" t="s">
        <v>145</v>
      </c>
      <c r="C21" s="44">
        <v>14250.0</v>
      </c>
      <c r="D21" s="49">
        <v>46039.0</v>
      </c>
      <c r="E21" s="8" t="s">
        <v>151</v>
      </c>
      <c r="F21" s="38"/>
      <c r="G21" s="38"/>
      <c r="H21" s="38"/>
      <c r="I21" s="38"/>
    </row>
    <row r="22">
      <c r="A22" s="73" t="s">
        <v>163</v>
      </c>
      <c r="B22" s="46" t="s">
        <v>145</v>
      </c>
      <c r="C22" s="44">
        <v>14250.0</v>
      </c>
      <c r="D22" s="56">
        <v>46041.0</v>
      </c>
      <c r="E22" s="4" t="s">
        <v>120</v>
      </c>
      <c r="F22" s="38"/>
      <c r="G22" s="38"/>
      <c r="H22" s="38"/>
      <c r="I22" s="38"/>
    </row>
    <row r="23">
      <c r="A23" s="48" t="s">
        <v>77</v>
      </c>
      <c r="B23" s="46" t="s">
        <v>164</v>
      </c>
      <c r="C23" s="44">
        <v>17400.0</v>
      </c>
      <c r="D23" s="49">
        <v>46043.0</v>
      </c>
      <c r="E23" s="4" t="s">
        <v>120</v>
      </c>
      <c r="F23" s="38"/>
      <c r="G23" s="38"/>
      <c r="H23" s="38"/>
      <c r="I23" s="38"/>
    </row>
    <row r="24">
      <c r="A24" s="59" t="s">
        <v>165</v>
      </c>
      <c r="B24" s="46" t="s">
        <v>97</v>
      </c>
      <c r="C24" s="75">
        <v>27360.0</v>
      </c>
      <c r="D24" s="49">
        <v>46043.0</v>
      </c>
      <c r="E24" s="8" t="s">
        <v>166</v>
      </c>
      <c r="F24" s="38"/>
      <c r="G24" s="60"/>
      <c r="H24" s="60"/>
      <c r="I24" s="38"/>
    </row>
    <row r="25">
      <c r="A25" s="59" t="s">
        <v>117</v>
      </c>
      <c r="B25" s="46" t="s">
        <v>97</v>
      </c>
      <c r="C25" s="53">
        <v>32000.0</v>
      </c>
      <c r="D25" s="26">
        <v>46044.0</v>
      </c>
      <c r="E25" s="4" t="s">
        <v>120</v>
      </c>
      <c r="F25" s="38"/>
      <c r="G25" s="60"/>
      <c r="H25" s="61"/>
      <c r="I25" s="38"/>
    </row>
    <row r="26">
      <c r="A26" s="54" t="s">
        <v>112</v>
      </c>
      <c r="B26" s="46" t="s">
        <v>167</v>
      </c>
      <c r="C26" s="53">
        <v>15000.0</v>
      </c>
      <c r="D26" s="26">
        <v>46044.0</v>
      </c>
      <c r="E26" s="4" t="s">
        <v>120</v>
      </c>
      <c r="F26" s="38"/>
      <c r="G26" s="60"/>
      <c r="H26" s="60"/>
      <c r="I26" s="38"/>
    </row>
    <row r="27">
      <c r="A27" s="54" t="s">
        <v>88</v>
      </c>
      <c r="B27" s="46" t="s">
        <v>168</v>
      </c>
      <c r="C27" s="53">
        <v>82320.0</v>
      </c>
      <c r="D27" s="26">
        <v>46045.0</v>
      </c>
      <c r="E27" s="8" t="s">
        <v>169</v>
      </c>
      <c r="F27" s="38"/>
      <c r="G27" s="60"/>
      <c r="H27" s="60"/>
      <c r="I27" s="38"/>
    </row>
    <row r="28">
      <c r="A28" s="59" t="s">
        <v>114</v>
      </c>
      <c r="B28" s="46" t="s">
        <v>97</v>
      </c>
      <c r="C28" s="53">
        <v>29600.0</v>
      </c>
      <c r="D28" s="26">
        <v>46045.0</v>
      </c>
      <c r="E28" s="8" t="s">
        <v>143</v>
      </c>
      <c r="F28" s="38"/>
      <c r="G28" s="60"/>
      <c r="H28" s="60"/>
      <c r="I28" s="38"/>
    </row>
    <row r="29">
      <c r="A29" s="73" t="s">
        <v>170</v>
      </c>
      <c r="B29" s="46" t="s">
        <v>171</v>
      </c>
      <c r="C29" s="53">
        <v>6000.0</v>
      </c>
      <c r="D29" s="26">
        <v>46045.0</v>
      </c>
      <c r="E29" s="8" t="s">
        <v>172</v>
      </c>
      <c r="F29" s="38"/>
      <c r="G29" s="60"/>
      <c r="H29" s="60"/>
      <c r="I29" s="38"/>
    </row>
    <row r="30">
      <c r="A30" s="73" t="s">
        <v>173</v>
      </c>
      <c r="B30" s="46" t="s">
        <v>145</v>
      </c>
      <c r="C30" s="53">
        <v>12000.0</v>
      </c>
      <c r="D30" s="26">
        <v>46045.0</v>
      </c>
      <c r="E30" s="8" t="s">
        <v>151</v>
      </c>
      <c r="F30" s="38"/>
      <c r="G30" s="60"/>
      <c r="H30" s="60"/>
      <c r="I30" s="38"/>
    </row>
    <row r="31">
      <c r="A31" s="73" t="s">
        <v>174</v>
      </c>
      <c r="B31" s="46" t="s">
        <v>145</v>
      </c>
      <c r="C31" s="53">
        <v>11250.0</v>
      </c>
      <c r="D31" s="26">
        <v>46046.0</v>
      </c>
      <c r="E31" s="4" t="s">
        <v>120</v>
      </c>
      <c r="F31" s="38"/>
      <c r="G31" s="60"/>
      <c r="H31" s="60"/>
      <c r="I31" s="38"/>
    </row>
    <row r="32">
      <c r="A32" s="54" t="s">
        <v>175</v>
      </c>
      <c r="B32" s="46" t="s">
        <v>176</v>
      </c>
      <c r="C32" s="53">
        <v>51585.0</v>
      </c>
      <c r="D32" s="26">
        <v>46048.0</v>
      </c>
      <c r="E32" s="4" t="s">
        <v>120</v>
      </c>
      <c r="F32" s="38"/>
      <c r="G32" s="60"/>
      <c r="H32" s="60"/>
      <c r="I32" s="38"/>
    </row>
    <row r="33">
      <c r="A33" s="54" t="s">
        <v>109</v>
      </c>
      <c r="B33" s="46" t="s">
        <v>177</v>
      </c>
      <c r="C33" s="53">
        <v>26820.0</v>
      </c>
      <c r="D33" s="26">
        <v>46051.0</v>
      </c>
      <c r="E33" s="4" t="s">
        <v>120</v>
      </c>
      <c r="F33" s="38"/>
      <c r="G33" s="60"/>
      <c r="H33" s="60"/>
      <c r="I33" s="38"/>
    </row>
    <row r="34">
      <c r="A34" s="46" t="s">
        <v>178</v>
      </c>
      <c r="B34" s="46"/>
      <c r="C34" s="53">
        <v>12190.0</v>
      </c>
      <c r="D34" s="26">
        <v>46051.0</v>
      </c>
      <c r="E34" s="4" t="s">
        <v>120</v>
      </c>
      <c r="F34" s="38"/>
      <c r="G34" s="60"/>
      <c r="H34" s="60"/>
      <c r="I34" s="38"/>
    </row>
    <row r="35">
      <c r="A35" s="48" t="s">
        <v>124</v>
      </c>
      <c r="B35" s="46" t="s">
        <v>179</v>
      </c>
      <c r="C35" s="53">
        <v>18150.0</v>
      </c>
      <c r="D35" s="26">
        <v>46051.0</v>
      </c>
      <c r="E35" s="4" t="s">
        <v>120</v>
      </c>
      <c r="F35" s="38"/>
      <c r="G35" s="60"/>
      <c r="H35" s="60"/>
      <c r="I35" s="38"/>
    </row>
    <row r="36">
      <c r="A36" s="54" t="s">
        <v>122</v>
      </c>
      <c r="B36" s="46" t="s">
        <v>180</v>
      </c>
      <c r="C36" s="62">
        <v>36000.0</v>
      </c>
      <c r="D36" s="26">
        <v>46051.0</v>
      </c>
      <c r="E36" s="4" t="s">
        <v>120</v>
      </c>
      <c r="F36" s="38"/>
      <c r="G36" s="60"/>
      <c r="H36" s="60"/>
      <c r="I36" s="38"/>
    </row>
    <row r="37">
      <c r="A37" s="46" t="s">
        <v>181</v>
      </c>
      <c r="B37" s="46" t="s">
        <v>182</v>
      </c>
      <c r="C37" s="62">
        <v>10000.0</v>
      </c>
      <c r="D37" s="26">
        <v>46051.0</v>
      </c>
      <c r="E37" s="4" t="s">
        <v>120</v>
      </c>
      <c r="F37" s="38"/>
      <c r="G37" s="60"/>
      <c r="H37" s="60"/>
      <c r="I37" s="38"/>
    </row>
    <row r="38">
      <c r="A38" s="73" t="s">
        <v>183</v>
      </c>
      <c r="B38" s="46" t="s">
        <v>145</v>
      </c>
      <c r="C38" s="62">
        <v>11250.0</v>
      </c>
      <c r="D38" s="26">
        <v>46051.0</v>
      </c>
      <c r="E38" s="4" t="s">
        <v>120</v>
      </c>
      <c r="F38" s="38"/>
      <c r="G38" s="60"/>
      <c r="H38" s="60"/>
      <c r="I38" s="38"/>
    </row>
    <row r="39">
      <c r="A39" s="46" t="s">
        <v>184</v>
      </c>
      <c r="B39" s="46" t="s">
        <v>185</v>
      </c>
      <c r="C39" s="62">
        <v>3990.0</v>
      </c>
      <c r="D39" s="26">
        <v>46052.0</v>
      </c>
      <c r="E39" s="4" t="s">
        <v>172</v>
      </c>
      <c r="F39" s="38"/>
      <c r="G39" s="60"/>
      <c r="H39" s="60"/>
      <c r="I39" s="38"/>
    </row>
    <row r="40">
      <c r="A40" s="46" t="s">
        <v>186</v>
      </c>
      <c r="B40" s="46" t="s">
        <v>187</v>
      </c>
      <c r="C40" s="62">
        <v>50000.0</v>
      </c>
      <c r="D40" s="26">
        <v>46052.0</v>
      </c>
      <c r="E40" s="4" t="s">
        <v>172</v>
      </c>
      <c r="F40" s="38"/>
      <c r="G40" s="60"/>
      <c r="H40" s="60"/>
      <c r="I40" s="38"/>
    </row>
    <row r="41">
      <c r="A41" s="46" t="s">
        <v>188</v>
      </c>
      <c r="B41" s="46" t="s">
        <v>189</v>
      </c>
      <c r="C41" s="62">
        <v>72000.0</v>
      </c>
      <c r="D41" s="26">
        <v>46052.0</v>
      </c>
      <c r="E41" s="4" t="s">
        <v>172</v>
      </c>
      <c r="F41" s="38"/>
      <c r="G41" s="60"/>
      <c r="H41" s="60"/>
      <c r="I41" s="38"/>
    </row>
    <row r="42">
      <c r="A42" s="46" t="s">
        <v>141</v>
      </c>
      <c r="B42" s="46" t="s">
        <v>142</v>
      </c>
      <c r="C42" s="62">
        <v>1500.0</v>
      </c>
      <c r="D42" s="26">
        <v>46053.0</v>
      </c>
      <c r="E42" s="8" t="s">
        <v>143</v>
      </c>
      <c r="F42" s="38"/>
      <c r="G42" s="60"/>
      <c r="H42" s="60"/>
      <c r="I42" s="38"/>
    </row>
    <row r="43">
      <c r="A43" s="46" t="s">
        <v>190</v>
      </c>
      <c r="B43" s="46"/>
      <c r="C43" s="62">
        <v>4000.0</v>
      </c>
      <c r="D43" s="26">
        <v>46053.0</v>
      </c>
      <c r="E43" s="8" t="s">
        <v>151</v>
      </c>
      <c r="F43" s="38"/>
      <c r="G43" s="60"/>
      <c r="H43" s="60"/>
      <c r="I43" s="38"/>
    </row>
    <row r="44">
      <c r="A44" s="59" t="s">
        <v>111</v>
      </c>
      <c r="B44" s="46" t="s">
        <v>97</v>
      </c>
      <c r="C44" s="62">
        <v>50000.0</v>
      </c>
      <c r="D44" s="26">
        <v>46053.0</v>
      </c>
      <c r="E44" s="4" t="s">
        <v>120</v>
      </c>
      <c r="F44" s="38"/>
      <c r="G44" s="60"/>
      <c r="H44" s="60"/>
      <c r="I44" s="38"/>
    </row>
    <row r="45">
      <c r="A45" s="54" t="s">
        <v>129</v>
      </c>
      <c r="B45" s="76" t="s">
        <v>191</v>
      </c>
      <c r="C45" s="62">
        <v>281339.32</v>
      </c>
      <c r="D45" s="26">
        <v>46053.0</v>
      </c>
      <c r="E45" s="68" t="s">
        <v>192</v>
      </c>
      <c r="F45" s="38"/>
      <c r="G45" s="67" t="s">
        <v>193</v>
      </c>
      <c r="H45" s="60"/>
      <c r="I45" s="38"/>
    </row>
    <row r="46">
      <c r="A46" s="63" t="s">
        <v>44</v>
      </c>
      <c r="B46" s="46" t="s">
        <v>194</v>
      </c>
      <c r="C46" s="62">
        <v>7722.57</v>
      </c>
      <c r="D46" s="26">
        <v>46053.0</v>
      </c>
      <c r="E46" s="68" t="s">
        <v>192</v>
      </c>
      <c r="F46" s="38"/>
      <c r="G46" s="38"/>
      <c r="H46" s="38"/>
      <c r="I46" s="38"/>
    </row>
    <row r="47">
      <c r="A47" s="63" t="s">
        <v>195</v>
      </c>
      <c r="B47" s="46" t="s">
        <v>194</v>
      </c>
      <c r="C47" s="62">
        <v>19555.2</v>
      </c>
      <c r="D47" s="26">
        <v>46053.0</v>
      </c>
      <c r="E47" s="68" t="s">
        <v>192</v>
      </c>
      <c r="F47" s="38"/>
      <c r="G47" s="38"/>
      <c r="H47" s="38"/>
      <c r="I47" s="38"/>
    </row>
    <row r="48">
      <c r="A48" s="52" t="s">
        <v>43</v>
      </c>
      <c r="B48" s="46" t="s">
        <v>194</v>
      </c>
      <c r="C48" s="62">
        <v>65366.11</v>
      </c>
      <c r="D48" s="26">
        <v>46053.0</v>
      </c>
      <c r="E48" s="68" t="s">
        <v>192</v>
      </c>
      <c r="F48" s="38"/>
      <c r="G48" s="38"/>
      <c r="H48" s="38"/>
      <c r="I48" s="38"/>
    </row>
    <row r="49">
      <c r="A49" s="43" t="s">
        <v>46</v>
      </c>
      <c r="B49" s="43"/>
      <c r="C49" s="44">
        <f>SUM(C2:C48)</f>
        <v>1352655.6</v>
      </c>
      <c r="D49" s="4"/>
      <c r="E49" s="4"/>
      <c r="F49" s="38"/>
      <c r="G49" s="38"/>
      <c r="H49" s="38"/>
      <c r="I49" s="38"/>
    </row>
    <row r="50">
      <c r="A50" s="31"/>
      <c r="B50" s="31"/>
      <c r="C50" s="32"/>
    </row>
    <row r="51">
      <c r="A51" s="69"/>
      <c r="B51" s="35" t="s">
        <v>134</v>
      </c>
      <c r="C51" s="32"/>
    </row>
    <row r="52">
      <c r="A52" s="31"/>
      <c r="B52" s="31"/>
      <c r="C52" s="32"/>
    </row>
    <row r="53">
      <c r="A53" s="70"/>
      <c r="B53" s="35" t="s">
        <v>135</v>
      </c>
      <c r="C53" s="32"/>
      <c r="G53" s="33"/>
      <c r="H53" s="34"/>
    </row>
    <row r="54">
      <c r="A54" s="35"/>
      <c r="B54" s="35"/>
      <c r="C54" s="32"/>
    </row>
    <row r="55">
      <c r="A55" s="71"/>
      <c r="B55" s="35" t="s">
        <v>136</v>
      </c>
      <c r="C55" s="36"/>
    </row>
    <row r="56">
      <c r="A56" s="35"/>
      <c r="B56" s="35"/>
      <c r="C56" s="36"/>
    </row>
    <row r="57">
      <c r="A57" s="72"/>
      <c r="B57" s="35" t="s">
        <v>137</v>
      </c>
      <c r="C57" s="36"/>
    </row>
    <row r="58">
      <c r="C58" s="37"/>
    </row>
    <row r="59">
      <c r="A59" s="77"/>
      <c r="B59" s="15" t="s">
        <v>196</v>
      </c>
      <c r="C59" s="37"/>
    </row>
    <row r="60">
      <c r="C60" s="37"/>
    </row>
    <row r="61">
      <c r="C61" s="37"/>
    </row>
    <row r="62">
      <c r="C62" s="37"/>
    </row>
    <row r="63">
      <c r="C63" s="37"/>
    </row>
    <row r="64">
      <c r="C64" s="37"/>
    </row>
    <row r="65">
      <c r="C65" s="37"/>
    </row>
    <row r="66">
      <c r="C66" s="37"/>
    </row>
    <row r="67">
      <c r="C67" s="37"/>
    </row>
    <row r="68">
      <c r="C68" s="37"/>
    </row>
    <row r="69">
      <c r="C69" s="37"/>
    </row>
    <row r="70">
      <c r="C70" s="37"/>
    </row>
    <row r="71">
      <c r="C71" s="37"/>
    </row>
    <row r="72">
      <c r="C72" s="37"/>
    </row>
    <row r="73">
      <c r="C73" s="37"/>
    </row>
    <row r="74">
      <c r="C74" s="37"/>
    </row>
    <row r="75">
      <c r="C75" s="37"/>
    </row>
    <row r="76">
      <c r="C76" s="37"/>
    </row>
    <row r="77">
      <c r="C77" s="37"/>
    </row>
    <row r="78">
      <c r="C78" s="37"/>
    </row>
    <row r="79">
      <c r="C79" s="37"/>
    </row>
    <row r="80">
      <c r="C80" s="37"/>
    </row>
    <row r="81">
      <c r="C81" s="37"/>
    </row>
    <row r="82">
      <c r="C82" s="37"/>
    </row>
    <row r="83">
      <c r="C83" s="37"/>
    </row>
    <row r="84">
      <c r="C84" s="37"/>
    </row>
    <row r="85">
      <c r="C85" s="37"/>
    </row>
    <row r="86">
      <c r="C86" s="37"/>
    </row>
    <row r="87">
      <c r="C87" s="37"/>
    </row>
    <row r="88">
      <c r="C88" s="37"/>
    </row>
    <row r="89">
      <c r="C89" s="37"/>
    </row>
    <row r="90">
      <c r="C90" s="37"/>
    </row>
    <row r="91">
      <c r="C91" s="37"/>
    </row>
    <row r="92">
      <c r="C92" s="37"/>
    </row>
    <row r="93">
      <c r="C93" s="37"/>
    </row>
    <row r="94">
      <c r="C94" s="37"/>
    </row>
    <row r="95">
      <c r="C95" s="37"/>
    </row>
    <row r="96">
      <c r="C96" s="37"/>
    </row>
    <row r="97">
      <c r="C97" s="37"/>
    </row>
    <row r="98">
      <c r="C98" s="37"/>
    </row>
    <row r="99">
      <c r="C99" s="37"/>
    </row>
    <row r="100">
      <c r="C100" s="37"/>
    </row>
    <row r="101">
      <c r="C101" s="37"/>
    </row>
    <row r="102">
      <c r="C102" s="37"/>
    </row>
    <row r="103">
      <c r="C103" s="37"/>
    </row>
    <row r="104">
      <c r="C104" s="37"/>
    </row>
    <row r="105">
      <c r="C105" s="37"/>
    </row>
    <row r="106">
      <c r="C106" s="37"/>
    </row>
    <row r="107">
      <c r="C107" s="37"/>
    </row>
    <row r="108">
      <c r="C108" s="37"/>
    </row>
    <row r="109">
      <c r="C109" s="37"/>
    </row>
    <row r="110">
      <c r="C110" s="37"/>
    </row>
    <row r="111">
      <c r="C111" s="37"/>
    </row>
    <row r="112">
      <c r="C112" s="37"/>
    </row>
    <row r="113">
      <c r="C113" s="37"/>
    </row>
    <row r="114">
      <c r="C114" s="37"/>
    </row>
    <row r="115">
      <c r="C115" s="37"/>
    </row>
    <row r="116">
      <c r="C116" s="37"/>
    </row>
    <row r="117">
      <c r="C117" s="37"/>
    </row>
    <row r="118">
      <c r="C118" s="37"/>
    </row>
    <row r="119">
      <c r="C119" s="37"/>
    </row>
    <row r="120">
      <c r="C120" s="37"/>
    </row>
    <row r="121">
      <c r="C121" s="37"/>
    </row>
    <row r="122">
      <c r="C122" s="37"/>
    </row>
    <row r="123">
      <c r="C123" s="37"/>
    </row>
    <row r="124">
      <c r="C124" s="37"/>
    </row>
    <row r="125">
      <c r="C125" s="37"/>
    </row>
    <row r="126">
      <c r="C126" s="37"/>
    </row>
    <row r="127">
      <c r="C127" s="37"/>
    </row>
    <row r="128">
      <c r="C128" s="37"/>
    </row>
    <row r="129">
      <c r="C129" s="37"/>
    </row>
    <row r="130">
      <c r="C130" s="37"/>
    </row>
    <row r="131">
      <c r="C131" s="37"/>
    </row>
    <row r="132">
      <c r="C132" s="37"/>
    </row>
    <row r="133">
      <c r="C133" s="37"/>
    </row>
    <row r="134">
      <c r="C134" s="37"/>
    </row>
    <row r="135">
      <c r="C135" s="37"/>
    </row>
    <row r="136">
      <c r="C136" s="37"/>
    </row>
    <row r="137">
      <c r="C137" s="37"/>
    </row>
    <row r="138">
      <c r="C138" s="37"/>
    </row>
    <row r="139">
      <c r="C139" s="37"/>
    </row>
    <row r="140">
      <c r="C140" s="37"/>
    </row>
    <row r="141">
      <c r="C141" s="37"/>
    </row>
    <row r="142">
      <c r="C142" s="37"/>
    </row>
    <row r="143">
      <c r="C143" s="37"/>
    </row>
    <row r="144">
      <c r="C144" s="37"/>
    </row>
    <row r="145">
      <c r="C145" s="37"/>
    </row>
    <row r="146">
      <c r="C146" s="37"/>
    </row>
    <row r="147">
      <c r="C147" s="37"/>
    </row>
    <row r="148">
      <c r="C148" s="37"/>
    </row>
    <row r="149">
      <c r="C149" s="37"/>
    </row>
    <row r="150">
      <c r="C150" s="37"/>
    </row>
    <row r="151">
      <c r="C151" s="37"/>
    </row>
    <row r="152">
      <c r="C152" s="37"/>
    </row>
    <row r="153">
      <c r="C153" s="37"/>
    </row>
    <row r="154">
      <c r="C154" s="37"/>
    </row>
    <row r="155">
      <c r="C155" s="37"/>
    </row>
    <row r="156">
      <c r="C156" s="37"/>
    </row>
    <row r="157">
      <c r="C157" s="37"/>
    </row>
    <row r="158">
      <c r="C158" s="37"/>
    </row>
    <row r="159">
      <c r="C159" s="37"/>
    </row>
    <row r="160">
      <c r="C160" s="37"/>
    </row>
    <row r="161">
      <c r="C161" s="37"/>
    </row>
    <row r="162">
      <c r="C162" s="37"/>
    </row>
    <row r="163">
      <c r="C163" s="37"/>
    </row>
    <row r="164">
      <c r="C164" s="37"/>
    </row>
    <row r="165">
      <c r="C165" s="37"/>
    </row>
    <row r="166">
      <c r="C166" s="37"/>
    </row>
    <row r="167">
      <c r="C167" s="37"/>
    </row>
    <row r="168">
      <c r="C168" s="37"/>
    </row>
    <row r="169">
      <c r="C169" s="37"/>
    </row>
    <row r="170">
      <c r="C170" s="37"/>
    </row>
    <row r="171">
      <c r="C171" s="37"/>
    </row>
    <row r="172">
      <c r="C172" s="37"/>
    </row>
    <row r="173">
      <c r="C173" s="37"/>
    </row>
    <row r="174">
      <c r="C174" s="37"/>
    </row>
    <row r="175">
      <c r="C175" s="37"/>
    </row>
    <row r="176">
      <c r="C176" s="37"/>
    </row>
    <row r="177">
      <c r="C177" s="37"/>
    </row>
    <row r="178">
      <c r="C178" s="37"/>
    </row>
    <row r="179">
      <c r="C179" s="37"/>
    </row>
    <row r="180">
      <c r="C180" s="37"/>
    </row>
    <row r="181">
      <c r="C181" s="37"/>
    </row>
    <row r="182">
      <c r="C182" s="37"/>
    </row>
    <row r="183">
      <c r="C183" s="37"/>
    </row>
    <row r="184">
      <c r="C184" s="37"/>
    </row>
    <row r="185">
      <c r="C185" s="37"/>
    </row>
    <row r="186">
      <c r="C186" s="37"/>
    </row>
    <row r="187">
      <c r="C187" s="37"/>
    </row>
    <row r="188">
      <c r="C188" s="37"/>
    </row>
    <row r="189">
      <c r="C189" s="37"/>
    </row>
    <row r="190">
      <c r="C190" s="37"/>
    </row>
    <row r="191">
      <c r="C191" s="37"/>
    </row>
    <row r="192">
      <c r="C192" s="37"/>
    </row>
    <row r="193">
      <c r="C193" s="37"/>
    </row>
    <row r="194">
      <c r="C194" s="37"/>
    </row>
    <row r="195">
      <c r="C195" s="37"/>
    </row>
    <row r="196">
      <c r="C196" s="37"/>
    </row>
    <row r="197">
      <c r="C197" s="37"/>
    </row>
    <row r="198">
      <c r="C198" s="37"/>
    </row>
    <row r="199">
      <c r="C199" s="37"/>
    </row>
    <row r="200">
      <c r="C200" s="37"/>
    </row>
    <row r="201">
      <c r="C201" s="37"/>
    </row>
    <row r="202">
      <c r="C202" s="37"/>
    </row>
    <row r="203">
      <c r="C203" s="37"/>
    </row>
    <row r="204">
      <c r="C204" s="37"/>
    </row>
    <row r="205">
      <c r="C205" s="37"/>
    </row>
    <row r="206">
      <c r="C206" s="37"/>
    </row>
    <row r="207">
      <c r="C207" s="37"/>
    </row>
    <row r="208">
      <c r="C208" s="37"/>
    </row>
    <row r="209">
      <c r="C209" s="37"/>
    </row>
    <row r="210">
      <c r="C210" s="37"/>
    </row>
    <row r="211">
      <c r="C211" s="37"/>
    </row>
    <row r="212">
      <c r="C212" s="37"/>
    </row>
    <row r="213">
      <c r="C213" s="37"/>
    </row>
    <row r="214">
      <c r="C214" s="37"/>
    </row>
    <row r="215">
      <c r="C215" s="37"/>
    </row>
    <row r="216">
      <c r="C216" s="37"/>
    </row>
    <row r="217">
      <c r="C217" s="37"/>
    </row>
    <row r="218">
      <c r="C218" s="37"/>
    </row>
    <row r="219">
      <c r="C219" s="37"/>
    </row>
    <row r="220">
      <c r="C220" s="37"/>
    </row>
    <row r="221">
      <c r="C221" s="37"/>
    </row>
    <row r="222">
      <c r="C222" s="37"/>
    </row>
    <row r="223">
      <c r="C223" s="37"/>
    </row>
    <row r="224">
      <c r="C224" s="37"/>
    </row>
    <row r="225">
      <c r="C225" s="37"/>
    </row>
    <row r="226">
      <c r="C226" s="37"/>
    </row>
    <row r="227">
      <c r="C227" s="37"/>
    </row>
    <row r="228">
      <c r="C228" s="37"/>
    </row>
    <row r="229">
      <c r="C229" s="37"/>
    </row>
    <row r="230">
      <c r="C230" s="37"/>
    </row>
    <row r="231">
      <c r="C231" s="37"/>
    </row>
    <row r="232">
      <c r="C232" s="37"/>
    </row>
    <row r="233">
      <c r="C233" s="37"/>
    </row>
    <row r="234">
      <c r="C234" s="37"/>
    </row>
    <row r="235">
      <c r="C235" s="37"/>
    </row>
    <row r="236">
      <c r="C236" s="37"/>
    </row>
    <row r="237">
      <c r="C237" s="37"/>
    </row>
    <row r="238">
      <c r="C238" s="37"/>
    </row>
    <row r="239">
      <c r="C239" s="37"/>
    </row>
    <row r="240">
      <c r="C240" s="37"/>
    </row>
    <row r="241">
      <c r="C241" s="37"/>
    </row>
    <row r="242">
      <c r="C242" s="37"/>
    </row>
    <row r="243">
      <c r="C243" s="37"/>
    </row>
    <row r="244">
      <c r="C244" s="37"/>
    </row>
    <row r="245">
      <c r="C245" s="37"/>
    </row>
    <row r="246">
      <c r="C246" s="37"/>
    </row>
    <row r="247">
      <c r="C247" s="37"/>
    </row>
    <row r="248">
      <c r="C248" s="37"/>
    </row>
    <row r="249">
      <c r="C249" s="37"/>
    </row>
    <row r="250">
      <c r="C250" s="37"/>
    </row>
    <row r="251">
      <c r="C251" s="37"/>
    </row>
    <row r="252">
      <c r="C252" s="37"/>
    </row>
    <row r="253">
      <c r="C253" s="37"/>
    </row>
    <row r="254">
      <c r="C254" s="37"/>
    </row>
    <row r="255">
      <c r="C255" s="37"/>
    </row>
    <row r="256">
      <c r="C256" s="37"/>
    </row>
    <row r="257">
      <c r="C257" s="37"/>
    </row>
    <row r="258">
      <c r="C258" s="37"/>
    </row>
    <row r="259">
      <c r="C259" s="37"/>
    </row>
    <row r="260">
      <c r="C260" s="37"/>
    </row>
    <row r="261">
      <c r="C261" s="37"/>
    </row>
    <row r="262">
      <c r="C262" s="37"/>
    </row>
    <row r="263">
      <c r="C263" s="37"/>
    </row>
    <row r="264">
      <c r="C264" s="37"/>
    </row>
    <row r="265">
      <c r="C265" s="37"/>
    </row>
    <row r="266">
      <c r="C266" s="37"/>
    </row>
    <row r="267">
      <c r="C267" s="37"/>
    </row>
    <row r="268">
      <c r="C268" s="37"/>
    </row>
    <row r="269">
      <c r="C269" s="37"/>
    </row>
    <row r="270">
      <c r="C270" s="37"/>
    </row>
    <row r="271">
      <c r="C271" s="37"/>
    </row>
    <row r="272">
      <c r="C272" s="37"/>
    </row>
    <row r="273">
      <c r="C273" s="37"/>
    </row>
    <row r="274">
      <c r="C274" s="37"/>
    </row>
    <row r="275">
      <c r="C275" s="37"/>
    </row>
    <row r="276">
      <c r="C276" s="37"/>
    </row>
    <row r="277">
      <c r="C277" s="37"/>
    </row>
    <row r="278">
      <c r="C278" s="37"/>
    </row>
    <row r="279">
      <c r="C279" s="37"/>
    </row>
    <row r="280">
      <c r="C280" s="37"/>
    </row>
    <row r="281">
      <c r="C281" s="37"/>
    </row>
    <row r="282">
      <c r="C282" s="37"/>
    </row>
    <row r="283">
      <c r="C283" s="37"/>
    </row>
    <row r="284">
      <c r="C284" s="37"/>
    </row>
    <row r="285">
      <c r="C285" s="37"/>
    </row>
    <row r="286">
      <c r="C286" s="37"/>
    </row>
    <row r="287">
      <c r="C287" s="37"/>
    </row>
    <row r="288">
      <c r="C288" s="37"/>
    </row>
    <row r="289">
      <c r="C289" s="37"/>
    </row>
    <row r="290">
      <c r="C290" s="37"/>
    </row>
    <row r="291">
      <c r="C291" s="37"/>
    </row>
    <row r="292">
      <c r="C292" s="37"/>
    </row>
    <row r="293">
      <c r="C293" s="37"/>
    </row>
    <row r="294">
      <c r="C294" s="37"/>
    </row>
    <row r="295">
      <c r="C295" s="37"/>
    </row>
    <row r="296">
      <c r="C296" s="37"/>
    </row>
    <row r="297">
      <c r="C297" s="37"/>
    </row>
    <row r="298">
      <c r="C298" s="37"/>
    </row>
    <row r="299">
      <c r="C299" s="37"/>
    </row>
    <row r="300">
      <c r="C300" s="37"/>
    </row>
    <row r="301">
      <c r="C301" s="37"/>
    </row>
    <row r="302">
      <c r="C302" s="37"/>
    </row>
    <row r="303">
      <c r="C303" s="37"/>
    </row>
    <row r="304">
      <c r="C304" s="37"/>
    </row>
    <row r="305">
      <c r="C305" s="37"/>
    </row>
    <row r="306">
      <c r="C306" s="37"/>
    </row>
    <row r="307">
      <c r="C307" s="37"/>
    </row>
    <row r="308">
      <c r="C308" s="37"/>
    </row>
    <row r="309">
      <c r="C309" s="37"/>
    </row>
    <row r="310">
      <c r="C310" s="37"/>
    </row>
    <row r="311">
      <c r="C311" s="37"/>
    </row>
    <row r="312">
      <c r="C312" s="37"/>
    </row>
    <row r="313">
      <c r="C313" s="37"/>
    </row>
    <row r="314">
      <c r="C314" s="37"/>
    </row>
    <row r="315">
      <c r="C315" s="37"/>
    </row>
    <row r="316">
      <c r="C316" s="37"/>
    </row>
    <row r="317">
      <c r="C317" s="37"/>
    </row>
    <row r="318">
      <c r="C318" s="37"/>
    </row>
    <row r="319">
      <c r="C319" s="37"/>
    </row>
    <row r="320">
      <c r="C320" s="37"/>
    </row>
    <row r="321">
      <c r="C321" s="37"/>
    </row>
    <row r="322">
      <c r="C322" s="37"/>
    </row>
    <row r="323">
      <c r="C323" s="37"/>
    </row>
    <row r="324">
      <c r="C324" s="37"/>
    </row>
    <row r="325">
      <c r="C325" s="37"/>
    </row>
    <row r="326">
      <c r="C326" s="37"/>
    </row>
    <row r="327">
      <c r="C327" s="37"/>
    </row>
    <row r="328">
      <c r="C328" s="37"/>
    </row>
    <row r="329">
      <c r="C329" s="37"/>
    </row>
    <row r="330">
      <c r="C330" s="37"/>
    </row>
    <row r="331">
      <c r="C331" s="37"/>
    </row>
    <row r="332">
      <c r="C332" s="37"/>
    </row>
    <row r="333">
      <c r="C333" s="37"/>
    </row>
    <row r="334">
      <c r="C334" s="37"/>
    </row>
    <row r="335">
      <c r="C335" s="37"/>
    </row>
    <row r="336">
      <c r="C336" s="37"/>
    </row>
    <row r="337">
      <c r="C337" s="37"/>
    </row>
    <row r="338">
      <c r="C338" s="37"/>
    </row>
    <row r="339">
      <c r="C339" s="37"/>
    </row>
    <row r="340">
      <c r="C340" s="37"/>
    </row>
    <row r="341">
      <c r="C341" s="37"/>
    </row>
    <row r="342">
      <c r="C342" s="37"/>
    </row>
    <row r="343">
      <c r="C343" s="37"/>
    </row>
    <row r="344">
      <c r="C344" s="37"/>
    </row>
    <row r="345">
      <c r="C345" s="37"/>
    </row>
    <row r="346">
      <c r="C346" s="37"/>
    </row>
    <row r="347">
      <c r="C347" s="37"/>
    </row>
    <row r="348">
      <c r="C348" s="37"/>
    </row>
    <row r="349">
      <c r="C349" s="37"/>
    </row>
    <row r="350">
      <c r="C350" s="37"/>
    </row>
    <row r="351">
      <c r="C351" s="37"/>
    </row>
    <row r="352">
      <c r="C352" s="37"/>
    </row>
    <row r="353">
      <c r="C353" s="37"/>
    </row>
    <row r="354">
      <c r="C354" s="37"/>
    </row>
    <row r="355">
      <c r="C355" s="37"/>
    </row>
    <row r="356">
      <c r="C356" s="37"/>
    </row>
    <row r="357">
      <c r="C357" s="37"/>
    </row>
    <row r="358">
      <c r="C358" s="37"/>
    </row>
    <row r="359">
      <c r="C359" s="37"/>
    </row>
    <row r="360">
      <c r="C360" s="37"/>
    </row>
    <row r="361">
      <c r="C361" s="37"/>
    </row>
    <row r="362">
      <c r="C362" s="37"/>
    </row>
    <row r="363">
      <c r="C363" s="37"/>
    </row>
    <row r="364">
      <c r="C364" s="37"/>
    </row>
    <row r="365">
      <c r="C365" s="37"/>
    </row>
    <row r="366">
      <c r="C366" s="37"/>
    </row>
    <row r="367">
      <c r="C367" s="37"/>
    </row>
    <row r="368">
      <c r="C368" s="37"/>
    </row>
    <row r="369">
      <c r="C369" s="37"/>
    </row>
    <row r="370">
      <c r="C370" s="37"/>
    </row>
    <row r="371">
      <c r="C371" s="37"/>
    </row>
    <row r="372">
      <c r="C372" s="37"/>
    </row>
    <row r="373">
      <c r="C373" s="37"/>
    </row>
    <row r="374">
      <c r="C374" s="37"/>
    </row>
    <row r="375">
      <c r="C375" s="37"/>
    </row>
    <row r="376">
      <c r="C376" s="37"/>
    </row>
    <row r="377">
      <c r="C377" s="37"/>
    </row>
    <row r="378">
      <c r="C378" s="37"/>
    </row>
    <row r="379">
      <c r="C379" s="37"/>
    </row>
    <row r="380">
      <c r="C380" s="37"/>
    </row>
    <row r="381">
      <c r="C381" s="37"/>
    </row>
    <row r="382">
      <c r="C382" s="37"/>
    </row>
    <row r="383">
      <c r="C383" s="37"/>
    </row>
    <row r="384">
      <c r="C384" s="37"/>
    </row>
    <row r="385">
      <c r="C385" s="37"/>
    </row>
    <row r="386">
      <c r="C386" s="37"/>
    </row>
    <row r="387">
      <c r="C387" s="37"/>
    </row>
    <row r="388">
      <c r="C388" s="37"/>
    </row>
    <row r="389">
      <c r="C389" s="37"/>
    </row>
    <row r="390">
      <c r="C390" s="37"/>
    </row>
    <row r="391">
      <c r="C391" s="37"/>
    </row>
    <row r="392">
      <c r="C392" s="37"/>
    </row>
    <row r="393">
      <c r="C393" s="37"/>
    </row>
    <row r="394">
      <c r="C394" s="37"/>
    </row>
    <row r="395">
      <c r="C395" s="37"/>
    </row>
    <row r="396">
      <c r="C396" s="37"/>
    </row>
    <row r="397">
      <c r="C397" s="37"/>
    </row>
    <row r="398">
      <c r="C398" s="37"/>
    </row>
    <row r="399">
      <c r="C399" s="37"/>
    </row>
    <row r="400">
      <c r="C400" s="37"/>
    </row>
    <row r="401">
      <c r="C401" s="37"/>
    </row>
    <row r="402">
      <c r="C402" s="37"/>
    </row>
    <row r="403">
      <c r="C403" s="37"/>
    </row>
    <row r="404">
      <c r="C404" s="37"/>
    </row>
    <row r="405">
      <c r="C405" s="37"/>
    </row>
    <row r="406">
      <c r="C406" s="37"/>
    </row>
    <row r="407">
      <c r="C407" s="37"/>
    </row>
    <row r="408">
      <c r="C408" s="37"/>
    </row>
    <row r="409">
      <c r="C409" s="37"/>
    </row>
    <row r="410">
      <c r="C410" s="37"/>
    </row>
    <row r="411">
      <c r="C411" s="37"/>
    </row>
    <row r="412">
      <c r="C412" s="37"/>
    </row>
    <row r="413">
      <c r="C413" s="37"/>
    </row>
    <row r="414">
      <c r="C414" s="37"/>
    </row>
    <row r="415">
      <c r="C415" s="37"/>
    </row>
    <row r="416">
      <c r="C416" s="37"/>
    </row>
    <row r="417">
      <c r="C417" s="37"/>
    </row>
    <row r="418">
      <c r="C418" s="37"/>
    </row>
    <row r="419">
      <c r="C419" s="37"/>
    </row>
    <row r="420">
      <c r="C420" s="37"/>
    </row>
    <row r="421">
      <c r="C421" s="37"/>
    </row>
    <row r="422">
      <c r="C422" s="37"/>
    </row>
    <row r="423">
      <c r="C423" s="37"/>
    </row>
    <row r="424">
      <c r="C424" s="37"/>
    </row>
    <row r="425">
      <c r="C425" s="37"/>
    </row>
    <row r="426">
      <c r="C426" s="37"/>
    </row>
    <row r="427">
      <c r="C427" s="37"/>
    </row>
    <row r="428">
      <c r="C428" s="37"/>
    </row>
    <row r="429">
      <c r="C429" s="37"/>
    </row>
    <row r="430">
      <c r="C430" s="37"/>
    </row>
    <row r="431">
      <c r="C431" s="37"/>
    </row>
    <row r="432">
      <c r="C432" s="37"/>
    </row>
    <row r="433">
      <c r="C433" s="37"/>
    </row>
    <row r="434">
      <c r="C434" s="37"/>
    </row>
    <row r="435">
      <c r="C435" s="37"/>
    </row>
    <row r="436">
      <c r="C436" s="37"/>
    </row>
    <row r="437">
      <c r="C437" s="37"/>
    </row>
    <row r="438">
      <c r="C438" s="37"/>
    </row>
    <row r="439">
      <c r="C439" s="37"/>
    </row>
    <row r="440">
      <c r="C440" s="37"/>
    </row>
    <row r="441">
      <c r="C441" s="37"/>
    </row>
    <row r="442">
      <c r="C442" s="37"/>
    </row>
    <row r="443">
      <c r="C443" s="37"/>
    </row>
    <row r="444">
      <c r="C444" s="37"/>
    </row>
    <row r="445">
      <c r="C445" s="37"/>
    </row>
    <row r="446">
      <c r="C446" s="37"/>
    </row>
    <row r="447">
      <c r="C447" s="37"/>
    </row>
    <row r="448">
      <c r="C448" s="37"/>
    </row>
    <row r="449">
      <c r="C449" s="37"/>
    </row>
    <row r="450">
      <c r="C450" s="37"/>
    </row>
    <row r="451">
      <c r="C451" s="37"/>
    </row>
    <row r="452">
      <c r="C452" s="37"/>
    </row>
    <row r="453">
      <c r="C453" s="37"/>
    </row>
    <row r="454">
      <c r="C454" s="37"/>
    </row>
    <row r="455">
      <c r="C455" s="37"/>
    </row>
    <row r="456">
      <c r="C456" s="37"/>
    </row>
    <row r="457">
      <c r="C457" s="37"/>
    </row>
    <row r="458">
      <c r="C458" s="37"/>
    </row>
    <row r="459">
      <c r="C459" s="37"/>
    </row>
    <row r="460">
      <c r="C460" s="37"/>
    </row>
    <row r="461">
      <c r="C461" s="37"/>
    </row>
    <row r="462">
      <c r="C462" s="37"/>
    </row>
    <row r="463">
      <c r="C463" s="37"/>
    </row>
    <row r="464">
      <c r="C464" s="37"/>
    </row>
    <row r="465">
      <c r="C465" s="37"/>
    </row>
    <row r="466">
      <c r="C466" s="37"/>
    </row>
    <row r="467">
      <c r="C467" s="37"/>
    </row>
    <row r="468">
      <c r="C468" s="37"/>
    </row>
    <row r="469">
      <c r="C469" s="37"/>
    </row>
    <row r="470">
      <c r="C470" s="37"/>
    </row>
    <row r="471">
      <c r="C471" s="37"/>
    </row>
    <row r="472">
      <c r="C472" s="37"/>
    </row>
    <row r="473">
      <c r="C473" s="37"/>
    </row>
    <row r="474">
      <c r="C474" s="37"/>
    </row>
    <row r="475">
      <c r="C475" s="37"/>
    </row>
    <row r="476">
      <c r="C476" s="37"/>
    </row>
    <row r="477">
      <c r="C477" s="37"/>
    </row>
    <row r="478">
      <c r="C478" s="37"/>
    </row>
    <row r="479">
      <c r="C479" s="37"/>
    </row>
    <row r="480">
      <c r="C480" s="37"/>
    </row>
    <row r="481">
      <c r="C481" s="37"/>
    </row>
    <row r="482">
      <c r="C482" s="37"/>
    </row>
    <row r="483">
      <c r="C483" s="37"/>
    </row>
    <row r="484">
      <c r="C484" s="37"/>
    </row>
    <row r="485">
      <c r="C485" s="37"/>
    </row>
    <row r="486">
      <c r="C486" s="37"/>
    </row>
    <row r="487">
      <c r="C487" s="37"/>
    </row>
    <row r="488">
      <c r="C488" s="37"/>
    </row>
    <row r="489">
      <c r="C489" s="37"/>
    </row>
    <row r="490">
      <c r="C490" s="37"/>
    </row>
    <row r="491">
      <c r="C491" s="37"/>
    </row>
    <row r="492">
      <c r="C492" s="37"/>
    </row>
    <row r="493">
      <c r="C493" s="37"/>
    </row>
    <row r="494">
      <c r="C494" s="37"/>
    </row>
    <row r="495">
      <c r="C495" s="37"/>
    </row>
    <row r="496">
      <c r="C496" s="37"/>
    </row>
    <row r="497">
      <c r="C497" s="37"/>
    </row>
    <row r="498">
      <c r="C498" s="37"/>
    </row>
    <row r="499">
      <c r="C499" s="37"/>
    </row>
    <row r="500">
      <c r="C500" s="37"/>
    </row>
    <row r="501">
      <c r="C501" s="37"/>
    </row>
    <row r="502">
      <c r="C502" s="37"/>
    </row>
    <row r="503">
      <c r="C503" s="37"/>
    </row>
    <row r="504">
      <c r="C504" s="37"/>
    </row>
    <row r="505">
      <c r="C505" s="37"/>
    </row>
    <row r="506">
      <c r="C506" s="37"/>
    </row>
    <row r="507">
      <c r="C507" s="37"/>
    </row>
    <row r="508">
      <c r="C508" s="37"/>
    </row>
    <row r="509">
      <c r="C509" s="37"/>
    </row>
    <row r="510">
      <c r="C510" s="37"/>
    </row>
    <row r="511">
      <c r="C511" s="37"/>
    </row>
    <row r="512">
      <c r="C512" s="37"/>
    </row>
    <row r="513">
      <c r="C513" s="37"/>
    </row>
    <row r="514">
      <c r="C514" s="37"/>
    </row>
    <row r="515">
      <c r="C515" s="37"/>
    </row>
    <row r="516">
      <c r="C516" s="37"/>
    </row>
    <row r="517">
      <c r="C517" s="37"/>
    </row>
    <row r="518">
      <c r="C518" s="37"/>
    </row>
    <row r="519">
      <c r="C519" s="37"/>
    </row>
    <row r="520">
      <c r="C520" s="37"/>
    </row>
    <row r="521">
      <c r="C521" s="37"/>
    </row>
    <row r="522">
      <c r="C522" s="37"/>
    </row>
    <row r="523">
      <c r="C523" s="37"/>
    </row>
    <row r="524">
      <c r="C524" s="37"/>
    </row>
    <row r="525">
      <c r="C525" s="37"/>
    </row>
    <row r="526">
      <c r="C526" s="37"/>
    </row>
    <row r="527">
      <c r="C527" s="37"/>
    </row>
    <row r="528">
      <c r="C528" s="37"/>
    </row>
    <row r="529">
      <c r="C529" s="37"/>
    </row>
    <row r="530">
      <c r="C530" s="37"/>
    </row>
    <row r="531">
      <c r="C531" s="37"/>
    </row>
    <row r="532">
      <c r="C532" s="37"/>
    </row>
    <row r="533">
      <c r="C533" s="37"/>
    </row>
    <row r="534">
      <c r="C534" s="37"/>
    </row>
    <row r="535">
      <c r="C535" s="37"/>
    </row>
    <row r="536">
      <c r="C536" s="37"/>
    </row>
    <row r="537">
      <c r="C537" s="37"/>
    </row>
    <row r="538">
      <c r="C538" s="37"/>
    </row>
    <row r="539">
      <c r="C539" s="37"/>
    </row>
    <row r="540">
      <c r="C540" s="37"/>
    </row>
    <row r="541">
      <c r="C541" s="37"/>
    </row>
    <row r="542">
      <c r="C542" s="37"/>
    </row>
    <row r="543">
      <c r="C543" s="37"/>
    </row>
    <row r="544">
      <c r="C544" s="37"/>
    </row>
    <row r="545">
      <c r="C545" s="37"/>
    </row>
    <row r="546">
      <c r="C546" s="37"/>
    </row>
    <row r="547">
      <c r="C547" s="37"/>
    </row>
    <row r="548">
      <c r="C548" s="37"/>
    </row>
    <row r="549">
      <c r="C549" s="37"/>
    </row>
    <row r="550">
      <c r="C550" s="37"/>
    </row>
    <row r="551">
      <c r="C551" s="37"/>
    </row>
    <row r="552">
      <c r="C552" s="37"/>
    </row>
    <row r="553">
      <c r="C553" s="37"/>
    </row>
    <row r="554">
      <c r="C554" s="37"/>
    </row>
    <row r="555">
      <c r="C555" s="37"/>
    </row>
    <row r="556">
      <c r="C556" s="37"/>
    </row>
    <row r="557">
      <c r="C557" s="37"/>
    </row>
    <row r="558">
      <c r="C558" s="37"/>
    </row>
    <row r="559">
      <c r="C559" s="37"/>
    </row>
    <row r="560">
      <c r="C560" s="37"/>
    </row>
    <row r="561">
      <c r="C561" s="37"/>
    </row>
    <row r="562">
      <c r="C562" s="37"/>
    </row>
    <row r="563">
      <c r="C563" s="37"/>
    </row>
    <row r="564">
      <c r="C564" s="37"/>
    </row>
    <row r="565">
      <c r="C565" s="37"/>
    </row>
    <row r="566">
      <c r="C566" s="37"/>
    </row>
    <row r="567">
      <c r="C567" s="37"/>
    </row>
    <row r="568">
      <c r="C568" s="37"/>
    </row>
    <row r="569">
      <c r="C569" s="37"/>
    </row>
    <row r="570">
      <c r="C570" s="37"/>
    </row>
    <row r="571">
      <c r="C571" s="37"/>
    </row>
    <row r="572">
      <c r="C572" s="37"/>
    </row>
    <row r="573">
      <c r="C573" s="37"/>
    </row>
    <row r="574">
      <c r="C574" s="37"/>
    </row>
    <row r="575">
      <c r="C575" s="37"/>
    </row>
    <row r="576">
      <c r="C576" s="37"/>
    </row>
    <row r="577">
      <c r="C577" s="37"/>
    </row>
    <row r="578">
      <c r="C578" s="37"/>
    </row>
    <row r="579">
      <c r="C579" s="37"/>
    </row>
    <row r="580">
      <c r="C580" s="37"/>
    </row>
    <row r="581">
      <c r="C581" s="37"/>
    </row>
    <row r="582">
      <c r="C582" s="37"/>
    </row>
    <row r="583">
      <c r="C583" s="37"/>
    </row>
    <row r="584">
      <c r="C584" s="37"/>
    </row>
    <row r="585">
      <c r="C585" s="37"/>
    </row>
    <row r="586">
      <c r="C586" s="37"/>
    </row>
    <row r="587">
      <c r="C587" s="37"/>
    </row>
    <row r="588">
      <c r="C588" s="37"/>
    </row>
    <row r="589">
      <c r="C589" s="37"/>
    </row>
    <row r="590">
      <c r="C590" s="37"/>
    </row>
    <row r="591">
      <c r="C591" s="37"/>
    </row>
    <row r="592">
      <c r="C592" s="37"/>
    </row>
    <row r="593">
      <c r="C593" s="37"/>
    </row>
    <row r="594">
      <c r="C594" s="37"/>
    </row>
    <row r="595">
      <c r="C595" s="37"/>
    </row>
    <row r="596">
      <c r="C596" s="37"/>
    </row>
    <row r="597">
      <c r="C597" s="37"/>
    </row>
    <row r="598">
      <c r="C598" s="37"/>
    </row>
    <row r="599">
      <c r="C599" s="37"/>
    </row>
    <row r="600">
      <c r="C600" s="37"/>
    </row>
    <row r="601">
      <c r="C601" s="37"/>
    </row>
    <row r="602">
      <c r="C602" s="37"/>
    </row>
    <row r="603">
      <c r="C603" s="37"/>
    </row>
    <row r="604">
      <c r="C604" s="37"/>
    </row>
    <row r="605">
      <c r="C605" s="37"/>
    </row>
    <row r="606">
      <c r="C606" s="37"/>
    </row>
    <row r="607">
      <c r="C607" s="37"/>
    </row>
    <row r="608">
      <c r="C608" s="37"/>
    </row>
    <row r="609">
      <c r="C609" s="37"/>
    </row>
    <row r="610">
      <c r="C610" s="37"/>
    </row>
    <row r="611">
      <c r="C611" s="37"/>
    </row>
    <row r="612">
      <c r="C612" s="37"/>
    </row>
    <row r="613">
      <c r="C613" s="37"/>
    </row>
    <row r="614">
      <c r="C614" s="37"/>
    </row>
    <row r="615">
      <c r="C615" s="37"/>
    </row>
    <row r="616">
      <c r="C616" s="37"/>
    </row>
    <row r="617">
      <c r="C617" s="37"/>
    </row>
    <row r="618">
      <c r="C618" s="37"/>
    </row>
    <row r="619">
      <c r="C619" s="37"/>
    </row>
    <row r="620">
      <c r="C620" s="37"/>
    </row>
    <row r="621">
      <c r="C621" s="37"/>
    </row>
    <row r="622">
      <c r="C622" s="37"/>
    </row>
    <row r="623">
      <c r="C623" s="37"/>
    </row>
    <row r="624">
      <c r="C624" s="37"/>
    </row>
    <row r="625">
      <c r="C625" s="37"/>
    </row>
    <row r="626">
      <c r="C626" s="37"/>
    </row>
    <row r="627">
      <c r="C627" s="37"/>
    </row>
    <row r="628">
      <c r="C628" s="37"/>
    </row>
    <row r="629">
      <c r="C629" s="37"/>
    </row>
    <row r="630">
      <c r="C630" s="37"/>
    </row>
    <row r="631">
      <c r="C631" s="37"/>
    </row>
    <row r="632">
      <c r="C632" s="37"/>
    </row>
    <row r="633">
      <c r="C633" s="37"/>
    </row>
    <row r="634">
      <c r="C634" s="37"/>
    </row>
    <row r="635">
      <c r="C635" s="37"/>
    </row>
    <row r="636">
      <c r="C636" s="37"/>
    </row>
    <row r="637">
      <c r="C637" s="37"/>
    </row>
    <row r="638">
      <c r="C638" s="37"/>
    </row>
    <row r="639">
      <c r="C639" s="37"/>
    </row>
    <row r="640">
      <c r="C640" s="37"/>
    </row>
    <row r="641">
      <c r="C641" s="37"/>
    </row>
    <row r="642">
      <c r="C642" s="37"/>
    </row>
    <row r="643">
      <c r="C643" s="37"/>
    </row>
    <row r="644">
      <c r="C644" s="37"/>
    </row>
    <row r="645">
      <c r="C645" s="37"/>
    </row>
    <row r="646">
      <c r="C646" s="37"/>
    </row>
    <row r="647">
      <c r="C647" s="37"/>
    </row>
    <row r="648">
      <c r="C648" s="37"/>
    </row>
    <row r="649">
      <c r="C649" s="37"/>
    </row>
    <row r="650">
      <c r="C650" s="37"/>
    </row>
    <row r="651">
      <c r="C651" s="37"/>
    </row>
    <row r="652">
      <c r="C652" s="37"/>
    </row>
    <row r="653">
      <c r="C653" s="37"/>
    </row>
    <row r="654">
      <c r="C654" s="37"/>
    </row>
    <row r="655">
      <c r="C655" s="37"/>
    </row>
    <row r="656">
      <c r="C656" s="37"/>
    </row>
    <row r="657">
      <c r="C657" s="37"/>
    </row>
    <row r="658">
      <c r="C658" s="37"/>
    </row>
    <row r="659">
      <c r="C659" s="37"/>
    </row>
    <row r="660">
      <c r="C660" s="37"/>
    </row>
    <row r="661">
      <c r="C661" s="37"/>
    </row>
    <row r="662">
      <c r="C662" s="37"/>
    </row>
    <row r="663">
      <c r="C663" s="37"/>
    </row>
    <row r="664">
      <c r="C664" s="37"/>
    </row>
    <row r="665">
      <c r="C665" s="37"/>
    </row>
    <row r="666">
      <c r="C666" s="37"/>
    </row>
    <row r="667">
      <c r="C667" s="37"/>
    </row>
    <row r="668">
      <c r="C668" s="37"/>
    </row>
    <row r="669">
      <c r="C669" s="37"/>
    </row>
    <row r="670">
      <c r="C670" s="37"/>
    </row>
    <row r="671">
      <c r="C671" s="37"/>
    </row>
    <row r="672">
      <c r="C672" s="37"/>
    </row>
    <row r="673">
      <c r="C673" s="37"/>
    </row>
    <row r="674">
      <c r="C674" s="37"/>
    </row>
    <row r="675">
      <c r="C675" s="37"/>
    </row>
    <row r="676">
      <c r="C676" s="37"/>
    </row>
    <row r="677">
      <c r="C677" s="37"/>
    </row>
    <row r="678">
      <c r="C678" s="37"/>
    </row>
    <row r="679">
      <c r="C679" s="37"/>
    </row>
    <row r="680">
      <c r="C680" s="37"/>
    </row>
    <row r="681">
      <c r="C681" s="37"/>
    </row>
    <row r="682">
      <c r="C682" s="37"/>
    </row>
    <row r="683">
      <c r="C683" s="37"/>
    </row>
    <row r="684">
      <c r="C684" s="37"/>
    </row>
    <row r="685">
      <c r="C685" s="37"/>
    </row>
    <row r="686">
      <c r="C686" s="37"/>
    </row>
    <row r="687">
      <c r="C687" s="37"/>
    </row>
    <row r="688">
      <c r="C688" s="37"/>
    </row>
    <row r="689">
      <c r="C689" s="37"/>
    </row>
    <row r="690">
      <c r="C690" s="37"/>
    </row>
    <row r="691">
      <c r="C691" s="37"/>
    </row>
    <row r="692">
      <c r="C692" s="37"/>
    </row>
    <row r="693">
      <c r="C693" s="37"/>
    </row>
    <row r="694">
      <c r="C694" s="37"/>
    </row>
    <row r="695">
      <c r="C695" s="37"/>
    </row>
    <row r="696">
      <c r="C696" s="37"/>
    </row>
    <row r="697">
      <c r="C697" s="37"/>
    </row>
    <row r="698">
      <c r="C698" s="37"/>
    </row>
    <row r="699">
      <c r="C699" s="37"/>
    </row>
    <row r="700">
      <c r="C700" s="37"/>
    </row>
    <row r="701">
      <c r="C701" s="37"/>
    </row>
    <row r="702">
      <c r="C702" s="37"/>
    </row>
    <row r="703">
      <c r="C703" s="37"/>
    </row>
    <row r="704">
      <c r="C704" s="37"/>
    </row>
    <row r="705">
      <c r="C705" s="37"/>
    </row>
    <row r="706">
      <c r="C706" s="37"/>
    </row>
    <row r="707">
      <c r="C707" s="37"/>
    </row>
    <row r="708">
      <c r="C708" s="37"/>
    </row>
    <row r="709">
      <c r="C709" s="37"/>
    </row>
    <row r="710">
      <c r="C710" s="37"/>
    </row>
    <row r="711">
      <c r="C711" s="37"/>
    </row>
    <row r="712">
      <c r="C712" s="37"/>
    </row>
    <row r="713">
      <c r="C713" s="37"/>
    </row>
    <row r="714">
      <c r="C714" s="37"/>
    </row>
    <row r="715">
      <c r="C715" s="37"/>
    </row>
    <row r="716">
      <c r="C716" s="37"/>
    </row>
    <row r="717">
      <c r="C717" s="37"/>
    </row>
    <row r="718">
      <c r="C718" s="37"/>
    </row>
    <row r="719">
      <c r="C719" s="37"/>
    </row>
    <row r="720">
      <c r="C720" s="37"/>
    </row>
    <row r="721">
      <c r="C721" s="37"/>
    </row>
    <row r="722">
      <c r="C722" s="37"/>
    </row>
    <row r="723">
      <c r="C723" s="37"/>
    </row>
    <row r="724">
      <c r="C724" s="37"/>
    </row>
    <row r="725">
      <c r="C725" s="37"/>
    </row>
    <row r="726">
      <c r="C726" s="37"/>
    </row>
    <row r="727">
      <c r="C727" s="37"/>
    </row>
    <row r="728">
      <c r="C728" s="37"/>
    </row>
    <row r="729">
      <c r="C729" s="37"/>
    </row>
    <row r="730">
      <c r="C730" s="37"/>
    </row>
    <row r="731">
      <c r="C731" s="37"/>
    </row>
    <row r="732">
      <c r="C732" s="37"/>
    </row>
    <row r="733">
      <c r="C733" s="37"/>
    </row>
    <row r="734">
      <c r="C734" s="37"/>
    </row>
    <row r="735">
      <c r="C735" s="37"/>
    </row>
    <row r="736">
      <c r="C736" s="37"/>
    </row>
    <row r="737">
      <c r="C737" s="37"/>
    </row>
    <row r="738">
      <c r="C738" s="37"/>
    </row>
    <row r="739">
      <c r="C739" s="37"/>
    </row>
    <row r="740">
      <c r="C740" s="37"/>
    </row>
    <row r="741">
      <c r="C741" s="37"/>
    </row>
    <row r="742">
      <c r="C742" s="37"/>
    </row>
    <row r="743">
      <c r="C743" s="37"/>
    </row>
    <row r="744">
      <c r="C744" s="37"/>
    </row>
    <row r="745">
      <c r="C745" s="37"/>
    </row>
    <row r="746">
      <c r="C746" s="37"/>
    </row>
    <row r="747">
      <c r="C747" s="37"/>
    </row>
    <row r="748">
      <c r="C748" s="37"/>
    </row>
    <row r="749">
      <c r="C749" s="37"/>
    </row>
    <row r="750">
      <c r="C750" s="37"/>
    </row>
    <row r="751">
      <c r="C751" s="37"/>
    </row>
    <row r="752">
      <c r="C752" s="37"/>
    </row>
    <row r="753">
      <c r="C753" s="37"/>
    </row>
    <row r="754">
      <c r="C754" s="37"/>
    </row>
    <row r="755">
      <c r="C755" s="37"/>
    </row>
    <row r="756">
      <c r="C756" s="37"/>
    </row>
    <row r="757">
      <c r="C757" s="37"/>
    </row>
    <row r="758">
      <c r="C758" s="37"/>
    </row>
    <row r="759">
      <c r="C759" s="37"/>
    </row>
    <row r="760">
      <c r="C760" s="37"/>
    </row>
    <row r="761">
      <c r="C761" s="37"/>
    </row>
    <row r="762">
      <c r="C762" s="37"/>
    </row>
    <row r="763">
      <c r="C763" s="37"/>
    </row>
    <row r="764">
      <c r="C764" s="37"/>
    </row>
    <row r="765">
      <c r="C765" s="37"/>
    </row>
    <row r="766">
      <c r="C766" s="37"/>
    </row>
    <row r="767">
      <c r="C767" s="37"/>
    </row>
    <row r="768">
      <c r="C768" s="37"/>
    </row>
    <row r="769">
      <c r="C769" s="37"/>
    </row>
    <row r="770">
      <c r="C770" s="37"/>
    </row>
    <row r="771">
      <c r="C771" s="37"/>
    </row>
    <row r="772">
      <c r="C772" s="37"/>
    </row>
    <row r="773">
      <c r="C773" s="37"/>
    </row>
    <row r="774">
      <c r="C774" s="37"/>
    </row>
    <row r="775">
      <c r="C775" s="37"/>
    </row>
    <row r="776">
      <c r="C776" s="37"/>
    </row>
    <row r="777">
      <c r="C777" s="37"/>
    </row>
    <row r="778">
      <c r="C778" s="37"/>
    </row>
    <row r="779">
      <c r="C779" s="37"/>
    </row>
    <row r="780">
      <c r="C780" s="37"/>
    </row>
    <row r="781">
      <c r="C781" s="37"/>
    </row>
    <row r="782">
      <c r="C782" s="37"/>
    </row>
    <row r="783">
      <c r="C783" s="37"/>
    </row>
    <row r="784">
      <c r="C784" s="37"/>
    </row>
    <row r="785">
      <c r="C785" s="37"/>
    </row>
    <row r="786">
      <c r="C786" s="37"/>
    </row>
    <row r="787">
      <c r="C787" s="37"/>
    </row>
    <row r="788">
      <c r="C788" s="37"/>
    </row>
    <row r="789">
      <c r="C789" s="37"/>
    </row>
    <row r="790">
      <c r="C790" s="37"/>
    </row>
    <row r="791">
      <c r="C791" s="37"/>
    </row>
    <row r="792">
      <c r="C792" s="37"/>
    </row>
    <row r="793">
      <c r="C793" s="37"/>
    </row>
    <row r="794">
      <c r="C794" s="37"/>
    </row>
    <row r="795">
      <c r="C795" s="37"/>
    </row>
    <row r="796">
      <c r="C796" s="37"/>
    </row>
    <row r="797">
      <c r="C797" s="37"/>
    </row>
    <row r="798">
      <c r="C798" s="37"/>
    </row>
    <row r="799">
      <c r="C799" s="37"/>
    </row>
    <row r="800">
      <c r="C800" s="37"/>
    </row>
    <row r="801">
      <c r="C801" s="37"/>
    </row>
    <row r="802">
      <c r="C802" s="37"/>
    </row>
    <row r="803">
      <c r="C803" s="37"/>
    </row>
    <row r="804">
      <c r="C804" s="37"/>
    </row>
    <row r="805">
      <c r="C805" s="37"/>
    </row>
    <row r="806">
      <c r="C806" s="37"/>
    </row>
    <row r="807">
      <c r="C807" s="37"/>
    </row>
    <row r="808">
      <c r="C808" s="37"/>
    </row>
    <row r="809">
      <c r="C809" s="37"/>
    </row>
    <row r="810">
      <c r="C810" s="37"/>
    </row>
    <row r="811">
      <c r="C811" s="37"/>
    </row>
    <row r="812">
      <c r="C812" s="37"/>
    </row>
    <row r="813">
      <c r="C813" s="37"/>
    </row>
    <row r="814">
      <c r="C814" s="37"/>
    </row>
    <row r="815">
      <c r="C815" s="37"/>
    </row>
    <row r="816">
      <c r="C816" s="37"/>
    </row>
    <row r="817">
      <c r="C817" s="37"/>
    </row>
    <row r="818">
      <c r="C818" s="37"/>
    </row>
    <row r="819">
      <c r="C819" s="37"/>
    </row>
    <row r="820">
      <c r="C820" s="37"/>
    </row>
    <row r="821">
      <c r="C821" s="37"/>
    </row>
    <row r="822">
      <c r="C822" s="37"/>
    </row>
    <row r="823">
      <c r="C823" s="37"/>
    </row>
    <row r="824">
      <c r="C824" s="37"/>
    </row>
    <row r="825">
      <c r="C825" s="37"/>
    </row>
    <row r="826">
      <c r="C826" s="37"/>
    </row>
    <row r="827">
      <c r="C827" s="37"/>
    </row>
    <row r="828">
      <c r="C828" s="37"/>
    </row>
    <row r="829">
      <c r="C829" s="37"/>
    </row>
    <row r="830">
      <c r="C830" s="37"/>
    </row>
    <row r="831">
      <c r="C831" s="37"/>
    </row>
    <row r="832">
      <c r="C832" s="37"/>
    </row>
    <row r="833">
      <c r="C833" s="37"/>
    </row>
    <row r="834">
      <c r="C834" s="37"/>
    </row>
    <row r="835">
      <c r="C835" s="37"/>
    </row>
    <row r="836">
      <c r="C836" s="37"/>
    </row>
    <row r="837">
      <c r="C837" s="37"/>
    </row>
    <row r="838">
      <c r="C838" s="37"/>
    </row>
    <row r="839">
      <c r="C839" s="37"/>
    </row>
    <row r="840">
      <c r="C840" s="37"/>
    </row>
    <row r="841">
      <c r="C841" s="37"/>
    </row>
    <row r="842">
      <c r="C842" s="37"/>
    </row>
    <row r="843">
      <c r="C843" s="37"/>
    </row>
    <row r="844">
      <c r="C844" s="37"/>
    </row>
    <row r="845">
      <c r="C845" s="37"/>
    </row>
    <row r="846">
      <c r="C846" s="37"/>
    </row>
    <row r="847">
      <c r="C847" s="37"/>
    </row>
    <row r="848">
      <c r="C848" s="37"/>
    </row>
    <row r="849">
      <c r="C849" s="37"/>
    </row>
    <row r="850">
      <c r="C850" s="37"/>
    </row>
    <row r="851">
      <c r="C851" s="37"/>
    </row>
    <row r="852">
      <c r="C852" s="37"/>
    </row>
    <row r="853">
      <c r="C853" s="37"/>
    </row>
    <row r="854">
      <c r="C854" s="37"/>
    </row>
    <row r="855">
      <c r="C855" s="37"/>
    </row>
    <row r="856">
      <c r="C856" s="37"/>
    </row>
    <row r="857">
      <c r="C857" s="37"/>
    </row>
    <row r="858">
      <c r="C858" s="37"/>
    </row>
    <row r="859">
      <c r="C859" s="37"/>
    </row>
    <row r="860">
      <c r="C860" s="37"/>
    </row>
    <row r="861">
      <c r="C861" s="37"/>
    </row>
    <row r="862">
      <c r="C862" s="37"/>
    </row>
    <row r="863">
      <c r="C863" s="37"/>
    </row>
    <row r="864">
      <c r="C864" s="37"/>
    </row>
    <row r="865">
      <c r="C865" s="37"/>
    </row>
    <row r="866">
      <c r="C866" s="37"/>
    </row>
    <row r="867">
      <c r="C867" s="37"/>
    </row>
    <row r="868">
      <c r="C868" s="37"/>
    </row>
    <row r="869">
      <c r="C869" s="37"/>
    </row>
    <row r="870">
      <c r="C870" s="37"/>
    </row>
    <row r="871">
      <c r="C871" s="37"/>
    </row>
    <row r="872">
      <c r="C872" s="37"/>
    </row>
    <row r="873">
      <c r="C873" s="37"/>
    </row>
    <row r="874">
      <c r="C874" s="37"/>
    </row>
    <row r="875">
      <c r="C875" s="37"/>
    </row>
    <row r="876">
      <c r="C876" s="37"/>
    </row>
    <row r="877">
      <c r="C877" s="37"/>
    </row>
    <row r="878">
      <c r="C878" s="37"/>
    </row>
    <row r="879">
      <c r="C879" s="37"/>
    </row>
    <row r="880">
      <c r="C880" s="37"/>
    </row>
    <row r="881">
      <c r="C881" s="37"/>
    </row>
    <row r="882">
      <c r="C882" s="37"/>
    </row>
    <row r="883">
      <c r="C883" s="37"/>
    </row>
    <row r="884">
      <c r="C884" s="37"/>
    </row>
    <row r="885">
      <c r="C885" s="37"/>
    </row>
    <row r="886">
      <c r="C886" s="37"/>
    </row>
    <row r="887">
      <c r="C887" s="37"/>
    </row>
    <row r="888">
      <c r="C888" s="37"/>
    </row>
    <row r="889">
      <c r="C889" s="37"/>
    </row>
    <row r="890">
      <c r="C890" s="37"/>
    </row>
    <row r="891">
      <c r="C891" s="37"/>
    </row>
    <row r="892">
      <c r="C892" s="37"/>
    </row>
    <row r="893">
      <c r="C893" s="37"/>
    </row>
    <row r="894">
      <c r="C894" s="37"/>
    </row>
    <row r="895">
      <c r="C895" s="37"/>
    </row>
    <row r="896">
      <c r="C896" s="37"/>
    </row>
    <row r="897">
      <c r="C897" s="37"/>
    </row>
    <row r="898">
      <c r="C898" s="37"/>
    </row>
    <row r="899">
      <c r="C899" s="37"/>
    </row>
    <row r="900">
      <c r="C900" s="37"/>
    </row>
    <row r="901">
      <c r="C901" s="37"/>
    </row>
    <row r="902">
      <c r="C902" s="37"/>
    </row>
    <row r="903">
      <c r="C903" s="37"/>
    </row>
    <row r="904">
      <c r="C904" s="37"/>
    </row>
    <row r="905">
      <c r="C905" s="37"/>
    </row>
    <row r="906">
      <c r="C906" s="37"/>
    </row>
    <row r="907">
      <c r="C907" s="37"/>
    </row>
    <row r="908">
      <c r="C908" s="37"/>
    </row>
    <row r="909">
      <c r="C909" s="37"/>
    </row>
    <row r="910">
      <c r="C910" s="37"/>
    </row>
    <row r="911">
      <c r="C911" s="37"/>
    </row>
    <row r="912">
      <c r="C912" s="37"/>
    </row>
    <row r="913">
      <c r="C913" s="37"/>
    </row>
    <row r="914">
      <c r="C914" s="37"/>
    </row>
    <row r="915">
      <c r="C915" s="37"/>
    </row>
    <row r="916">
      <c r="C916" s="37"/>
    </row>
    <row r="917">
      <c r="C917" s="37"/>
    </row>
    <row r="918">
      <c r="C918" s="37"/>
    </row>
    <row r="919">
      <c r="C919" s="37"/>
    </row>
    <row r="920">
      <c r="C920" s="37"/>
    </row>
    <row r="921">
      <c r="C921" s="37"/>
    </row>
    <row r="922">
      <c r="C922" s="37"/>
    </row>
    <row r="923">
      <c r="C923" s="37"/>
    </row>
    <row r="924">
      <c r="C924" s="37"/>
    </row>
    <row r="925">
      <c r="C925" s="37"/>
    </row>
    <row r="926">
      <c r="C926" s="37"/>
    </row>
    <row r="927">
      <c r="C927" s="37"/>
    </row>
    <row r="928">
      <c r="C928" s="37"/>
    </row>
    <row r="929">
      <c r="C929" s="37"/>
    </row>
    <row r="930">
      <c r="C930" s="37"/>
    </row>
    <row r="931">
      <c r="C931" s="37"/>
    </row>
    <row r="932">
      <c r="C932" s="37"/>
    </row>
    <row r="933">
      <c r="C933" s="37"/>
    </row>
    <row r="934">
      <c r="C934" s="37"/>
    </row>
    <row r="935">
      <c r="C935" s="37"/>
    </row>
    <row r="936">
      <c r="C936" s="37"/>
    </row>
    <row r="937">
      <c r="C937" s="37"/>
    </row>
    <row r="938">
      <c r="C938" s="37"/>
    </row>
    <row r="939">
      <c r="C939" s="37"/>
    </row>
    <row r="940">
      <c r="C940" s="37"/>
    </row>
    <row r="941">
      <c r="C941" s="37"/>
    </row>
    <row r="942">
      <c r="C942" s="37"/>
    </row>
    <row r="943">
      <c r="C943" s="37"/>
    </row>
    <row r="944">
      <c r="C944" s="37"/>
    </row>
    <row r="945">
      <c r="C945" s="37"/>
    </row>
    <row r="946">
      <c r="C946" s="37"/>
    </row>
    <row r="947">
      <c r="C947" s="37"/>
    </row>
    <row r="948">
      <c r="C948" s="37"/>
    </row>
    <row r="949">
      <c r="C949" s="37"/>
    </row>
    <row r="950">
      <c r="C950" s="37"/>
    </row>
    <row r="951">
      <c r="C951" s="37"/>
    </row>
    <row r="952">
      <c r="C952" s="37"/>
    </row>
    <row r="953">
      <c r="C953" s="37"/>
    </row>
    <row r="954">
      <c r="C954" s="37"/>
    </row>
    <row r="955">
      <c r="C955" s="37"/>
    </row>
    <row r="956">
      <c r="C956" s="37"/>
    </row>
    <row r="957">
      <c r="C957" s="37"/>
    </row>
    <row r="958">
      <c r="C958" s="37"/>
    </row>
    <row r="959">
      <c r="C959" s="37"/>
    </row>
    <row r="960">
      <c r="C960" s="37"/>
    </row>
    <row r="961">
      <c r="C961" s="37"/>
    </row>
    <row r="962">
      <c r="C962" s="37"/>
    </row>
    <row r="963">
      <c r="C963" s="37"/>
    </row>
    <row r="964">
      <c r="C964" s="37"/>
    </row>
    <row r="965">
      <c r="C965" s="37"/>
    </row>
    <row r="966">
      <c r="C966" s="37"/>
    </row>
    <row r="967">
      <c r="C967" s="37"/>
    </row>
    <row r="968">
      <c r="C968" s="37"/>
    </row>
    <row r="969">
      <c r="C969" s="37"/>
    </row>
    <row r="970">
      <c r="C970" s="37"/>
    </row>
    <row r="971">
      <c r="C971" s="37"/>
    </row>
    <row r="972">
      <c r="C972" s="37"/>
    </row>
    <row r="973">
      <c r="C973" s="37"/>
    </row>
    <row r="974">
      <c r="C974" s="37"/>
    </row>
    <row r="975">
      <c r="C975" s="37"/>
    </row>
    <row r="976">
      <c r="C976" s="37"/>
    </row>
    <row r="977">
      <c r="C977" s="37"/>
    </row>
    <row r="978">
      <c r="C978" s="37"/>
    </row>
    <row r="979">
      <c r="C979" s="37"/>
    </row>
    <row r="980">
      <c r="C980" s="37"/>
    </row>
    <row r="981">
      <c r="C981" s="37"/>
    </row>
    <row r="982">
      <c r="C982" s="37"/>
    </row>
    <row r="983">
      <c r="C983" s="37"/>
    </row>
    <row r="984">
      <c r="C984" s="37"/>
    </row>
    <row r="985">
      <c r="C985" s="37"/>
    </row>
    <row r="986">
      <c r="C986" s="37"/>
    </row>
    <row r="987">
      <c r="C987" s="37"/>
    </row>
    <row r="988">
      <c r="C988" s="37"/>
    </row>
    <row r="989">
      <c r="C989" s="37"/>
    </row>
    <row r="990">
      <c r="C990" s="37"/>
    </row>
    <row r="991">
      <c r="C991" s="37"/>
    </row>
    <row r="992">
      <c r="C992" s="37"/>
    </row>
    <row r="993">
      <c r="C993" s="37"/>
    </row>
    <row r="994">
      <c r="C994" s="37"/>
    </row>
    <row r="995">
      <c r="C995" s="37"/>
    </row>
    <row r="996">
      <c r="C996" s="37"/>
    </row>
    <row r="997">
      <c r="C997" s="37"/>
    </row>
    <row r="998">
      <c r="C998" s="37"/>
    </row>
    <row r="999">
      <c r="C999" s="37"/>
    </row>
    <row r="1000">
      <c r="C1000" s="37"/>
    </row>
    <row r="1001">
      <c r="C1001" s="37"/>
    </row>
    <row r="1002">
      <c r="C1002" s="37"/>
    </row>
    <row r="1003">
      <c r="C1003" s="37"/>
    </row>
    <row r="1004">
      <c r="C1004" s="37"/>
    </row>
    <row r="1005">
      <c r="C1005" s="37"/>
    </row>
    <row r="1006">
      <c r="C1006" s="37"/>
    </row>
    <row r="1007">
      <c r="C1007" s="37"/>
    </row>
    <row r="1008">
      <c r="C1008" s="37"/>
    </row>
    <row r="1009">
      <c r="C1009" s="37"/>
    </row>
    <row r="1010">
      <c r="C1010" s="37"/>
    </row>
    <row r="1011">
      <c r="C1011" s="37"/>
    </row>
    <row r="1012">
      <c r="C1012" s="37"/>
    </row>
    <row r="1013">
      <c r="C1013" s="37"/>
    </row>
    <row r="1014">
      <c r="C1014" s="37"/>
    </row>
    <row r="1015">
      <c r="C1015" s="37"/>
    </row>
    <row r="1016">
      <c r="C1016" s="37"/>
    </row>
    <row r="1017">
      <c r="C1017" s="37"/>
    </row>
    <row r="1018">
      <c r="C1018" s="37"/>
    </row>
    <row r="1019">
      <c r="C1019" s="37"/>
    </row>
    <row r="1020">
      <c r="C1020" s="37"/>
    </row>
    <row r="1021">
      <c r="C1021" s="37"/>
    </row>
    <row r="1022">
      <c r="C1022" s="37"/>
    </row>
    <row r="1023">
      <c r="C1023" s="37"/>
    </row>
    <row r="1024">
      <c r="C1024" s="37"/>
    </row>
    <row r="1025">
      <c r="C1025" s="37"/>
    </row>
    <row r="1026">
      <c r="C1026" s="37"/>
    </row>
    <row r="1027">
      <c r="C1027" s="37"/>
    </row>
    <row r="1028">
      <c r="C1028" s="37"/>
    </row>
    <row r="1029">
      <c r="C1029" s="37"/>
    </row>
    <row r="1030">
      <c r="C1030" s="37"/>
    </row>
    <row r="1031">
      <c r="C1031" s="37"/>
    </row>
    <row r="1032">
      <c r="C1032" s="37"/>
    </row>
    <row r="1033">
      <c r="C1033" s="37"/>
    </row>
    <row r="1034">
      <c r="C1034" s="37"/>
    </row>
    <row r="1035">
      <c r="C1035" s="37"/>
    </row>
    <row r="1036">
      <c r="C1036" s="37"/>
    </row>
    <row r="1037">
      <c r="C1037" s="37"/>
    </row>
    <row r="1038">
      <c r="C1038" s="37"/>
    </row>
    <row r="1039">
      <c r="C1039" s="3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7.13"/>
    <col customWidth="1" min="3" max="3" width="23.63"/>
    <col customWidth="1" min="4" max="5" width="24.13"/>
    <col customWidth="1" min="7" max="7" width="36.25"/>
  </cols>
  <sheetData>
    <row r="1">
      <c r="A1" s="1" t="s">
        <v>0</v>
      </c>
      <c r="B1" s="1" t="s">
        <v>47</v>
      </c>
      <c r="C1" s="1" t="s">
        <v>1</v>
      </c>
      <c r="D1" s="2" t="s">
        <v>2</v>
      </c>
      <c r="E1" s="2" t="s">
        <v>3</v>
      </c>
      <c r="F1" s="38"/>
      <c r="G1" s="38"/>
      <c r="H1" s="38"/>
      <c r="I1" s="38"/>
    </row>
    <row r="2">
      <c r="A2" s="78" t="s">
        <v>197</v>
      </c>
      <c r="B2" s="46" t="s">
        <v>145</v>
      </c>
      <c r="C2" s="41">
        <v>4000.0</v>
      </c>
      <c r="D2" s="42">
        <v>46055.0</v>
      </c>
      <c r="E2" s="4" t="s">
        <v>120</v>
      </c>
      <c r="F2" s="38"/>
      <c r="G2" s="38"/>
      <c r="H2" s="38"/>
      <c r="I2" s="38"/>
    </row>
    <row r="3">
      <c r="A3" s="54" t="s">
        <v>81</v>
      </c>
      <c r="B3" s="43" t="s">
        <v>198</v>
      </c>
      <c r="C3" s="44">
        <v>24318.0</v>
      </c>
      <c r="D3" s="42">
        <v>46057.0</v>
      </c>
      <c r="E3" s="4" t="s">
        <v>199</v>
      </c>
      <c r="F3" s="38"/>
      <c r="G3" s="38"/>
      <c r="H3" s="15"/>
      <c r="I3" s="38"/>
    </row>
    <row r="4">
      <c r="A4" s="79" t="s">
        <v>200</v>
      </c>
      <c r="B4" s="46" t="s">
        <v>145</v>
      </c>
      <c r="C4" s="44">
        <v>4000.0</v>
      </c>
      <c r="D4" s="42">
        <v>46058.0</v>
      </c>
      <c r="E4" s="4" t="s">
        <v>120</v>
      </c>
      <c r="F4" s="38"/>
      <c r="G4" s="38"/>
      <c r="H4" s="38"/>
      <c r="I4" s="38"/>
    </row>
    <row r="5">
      <c r="A5" s="59" t="s">
        <v>98</v>
      </c>
      <c r="B5" s="46" t="s">
        <v>97</v>
      </c>
      <c r="C5" s="44">
        <v>17030.0</v>
      </c>
      <c r="D5" s="42">
        <v>46062.0</v>
      </c>
      <c r="E5" s="4" t="s">
        <v>201</v>
      </c>
      <c r="F5" s="38"/>
      <c r="G5" s="33"/>
      <c r="H5" s="64">
        <v>1018214.04</v>
      </c>
    </row>
    <row r="6">
      <c r="A6" s="46" t="s">
        <v>202</v>
      </c>
      <c r="B6" s="46" t="s">
        <v>203</v>
      </c>
      <c r="C6" s="44">
        <v>35000.0</v>
      </c>
      <c r="D6" s="42">
        <v>46062.0</v>
      </c>
      <c r="E6" s="4" t="s">
        <v>201</v>
      </c>
      <c r="F6" s="38"/>
      <c r="G6" s="15"/>
      <c r="H6" s="50">
        <v>-0.06</v>
      </c>
      <c r="I6" s="38"/>
    </row>
    <row r="7">
      <c r="A7" s="43" t="s">
        <v>141</v>
      </c>
      <c r="B7" s="43" t="s">
        <v>142</v>
      </c>
      <c r="C7" s="44">
        <v>1500.0</v>
      </c>
      <c r="D7" s="42">
        <v>46063.0</v>
      </c>
      <c r="E7" s="4" t="s">
        <v>143</v>
      </c>
      <c r="F7" s="38"/>
      <c r="G7" s="15"/>
      <c r="H7" s="51">
        <v>957121.16</v>
      </c>
      <c r="I7" s="38"/>
    </row>
    <row r="8">
      <c r="A8" s="59" t="s">
        <v>108</v>
      </c>
      <c r="B8" s="46" t="s">
        <v>97</v>
      </c>
      <c r="C8" s="44">
        <v>47874.0</v>
      </c>
      <c r="D8" s="42">
        <v>46063.0</v>
      </c>
      <c r="E8" s="4" t="s">
        <v>201</v>
      </c>
      <c r="F8" s="38"/>
      <c r="G8" s="38"/>
      <c r="H8" s="51"/>
      <c r="I8" s="38"/>
    </row>
    <row r="9">
      <c r="A9" s="80" t="s">
        <v>204</v>
      </c>
      <c r="B9" s="46" t="s">
        <v>145</v>
      </c>
      <c r="C9" s="53">
        <v>11250.0</v>
      </c>
      <c r="D9" s="81">
        <v>46064.0</v>
      </c>
      <c r="E9" s="4" t="s">
        <v>120</v>
      </c>
      <c r="F9" s="38"/>
      <c r="G9" s="38"/>
      <c r="H9" s="15"/>
      <c r="I9" s="38"/>
    </row>
    <row r="10">
      <c r="A10" s="80" t="s">
        <v>205</v>
      </c>
      <c r="B10" s="46" t="s">
        <v>145</v>
      </c>
      <c r="C10" s="53">
        <v>4000.0</v>
      </c>
      <c r="D10" s="81">
        <v>46064.0</v>
      </c>
      <c r="E10" s="4" t="s">
        <v>120</v>
      </c>
      <c r="F10" s="38"/>
      <c r="G10" s="38"/>
      <c r="H10" s="15"/>
      <c r="I10" s="38"/>
    </row>
    <row r="11">
      <c r="A11" s="43" t="s">
        <v>94</v>
      </c>
      <c r="B11" s="46" t="s">
        <v>206</v>
      </c>
      <c r="C11" s="53">
        <v>198.0</v>
      </c>
      <c r="D11" s="81">
        <v>46064.0</v>
      </c>
      <c r="E11" s="4" t="s">
        <v>120</v>
      </c>
      <c r="F11" s="38"/>
      <c r="G11" s="38"/>
      <c r="H11" s="38"/>
      <c r="I11" s="38"/>
    </row>
    <row r="12">
      <c r="A12" s="43" t="s">
        <v>207</v>
      </c>
      <c r="B12" s="46" t="s">
        <v>102</v>
      </c>
      <c r="C12" s="44">
        <v>35000.0</v>
      </c>
      <c r="D12" s="81">
        <v>46064.0</v>
      </c>
      <c r="E12" s="4" t="s">
        <v>201</v>
      </c>
      <c r="F12" s="38"/>
      <c r="G12" s="38"/>
      <c r="H12" s="38"/>
      <c r="I12" s="38"/>
    </row>
    <row r="13">
      <c r="A13" s="43" t="s">
        <v>94</v>
      </c>
      <c r="B13" s="46" t="s">
        <v>208</v>
      </c>
      <c r="C13" s="44">
        <v>57390.0</v>
      </c>
      <c r="D13" s="81">
        <v>46065.0</v>
      </c>
      <c r="E13" s="4" t="s">
        <v>201</v>
      </c>
      <c r="F13" s="38"/>
      <c r="G13" s="57">
        <f>C3+C15+C16+C18+C20+C23+C24+C26+C37+C41+C48</f>
        <v>773968.89</v>
      </c>
      <c r="H13" s="15" t="s">
        <v>19</v>
      </c>
      <c r="I13" s="38"/>
    </row>
    <row r="14">
      <c r="A14" s="59" t="s">
        <v>98</v>
      </c>
      <c r="B14" s="46" t="s">
        <v>209</v>
      </c>
      <c r="C14" s="44">
        <v>10650.0</v>
      </c>
      <c r="D14" s="82">
        <v>46066.0</v>
      </c>
      <c r="E14" s="4" t="s">
        <v>120</v>
      </c>
      <c r="F14" s="38"/>
      <c r="G14" s="57">
        <f>C6+C7+C12+C22+C32+C38+C40+C44+C45+C46+C31</f>
        <v>133059</v>
      </c>
      <c r="H14" s="21" t="s">
        <v>23</v>
      </c>
      <c r="I14" s="38"/>
    </row>
    <row r="15">
      <c r="A15" s="48" t="s">
        <v>91</v>
      </c>
      <c r="B15" s="46" t="s">
        <v>210</v>
      </c>
      <c r="C15" s="44">
        <v>35892.0</v>
      </c>
      <c r="D15" s="82">
        <v>46067.0</v>
      </c>
      <c r="E15" s="8" t="s">
        <v>211</v>
      </c>
      <c r="F15" s="38"/>
      <c r="G15" s="57">
        <f>C5+C8+C14+C17+C21+C27+C30+C39+C43</f>
        <v>221524</v>
      </c>
      <c r="H15" s="15" t="s">
        <v>21</v>
      </c>
      <c r="I15" s="38"/>
    </row>
    <row r="16">
      <c r="A16" s="54" t="s">
        <v>77</v>
      </c>
      <c r="B16" s="83" t="s">
        <v>212</v>
      </c>
      <c r="C16" s="44">
        <v>28844.0</v>
      </c>
      <c r="D16" s="82">
        <v>46067.0</v>
      </c>
      <c r="E16" s="4" t="s">
        <v>201</v>
      </c>
      <c r="F16" s="38"/>
      <c r="G16" s="57">
        <f>C49+C50</f>
        <v>20807.98</v>
      </c>
      <c r="H16" s="15" t="s">
        <v>25</v>
      </c>
      <c r="I16" s="38"/>
    </row>
    <row r="17">
      <c r="A17" s="59" t="s">
        <v>96</v>
      </c>
      <c r="B17" s="46" t="s">
        <v>97</v>
      </c>
      <c r="C17" s="44">
        <v>39895.0</v>
      </c>
      <c r="D17" s="82">
        <v>46068.0</v>
      </c>
      <c r="E17" s="4" t="s">
        <v>120</v>
      </c>
      <c r="F17" s="38"/>
      <c r="G17" s="57">
        <f>C51+C11+C13</f>
        <v>118680.84</v>
      </c>
      <c r="H17" s="15" t="s">
        <v>28</v>
      </c>
      <c r="I17" s="38"/>
    </row>
    <row r="18">
      <c r="A18" s="48" t="s">
        <v>213</v>
      </c>
      <c r="B18" s="83" t="s">
        <v>214</v>
      </c>
      <c r="C18" s="44">
        <v>31752.0</v>
      </c>
      <c r="D18" s="82">
        <v>46068.0</v>
      </c>
      <c r="E18" s="4" t="s">
        <v>201</v>
      </c>
      <c r="F18" s="38"/>
      <c r="G18" s="57">
        <f>C2+C4+C9+C10+C19+C25+C28+C29+C33+C34+C35+C36+C42</f>
        <v>83000</v>
      </c>
      <c r="H18" s="15" t="s">
        <v>157</v>
      </c>
      <c r="I18" s="38"/>
    </row>
    <row r="19">
      <c r="A19" s="79" t="s">
        <v>215</v>
      </c>
      <c r="B19" s="46" t="s">
        <v>145</v>
      </c>
      <c r="C19" s="44">
        <v>11250.0</v>
      </c>
      <c r="D19" s="81">
        <v>46070.0</v>
      </c>
      <c r="E19" s="8" t="s">
        <v>151</v>
      </c>
      <c r="F19" s="38"/>
      <c r="G19" s="57">
        <f>SUM(G13:G17)</f>
        <v>1268040.71</v>
      </c>
      <c r="H19" s="15" t="s">
        <v>159</v>
      </c>
      <c r="I19" s="38"/>
    </row>
    <row r="20">
      <c r="A20" s="48" t="s">
        <v>216</v>
      </c>
      <c r="B20" s="83" t="s">
        <v>217</v>
      </c>
      <c r="C20" s="44">
        <v>42841.7</v>
      </c>
      <c r="D20" s="81">
        <v>46070.0</v>
      </c>
      <c r="E20" s="8" t="s">
        <v>218</v>
      </c>
      <c r="F20" s="38"/>
      <c r="G20" s="57">
        <f>SUM(G13:G18)</f>
        <v>1351040.71</v>
      </c>
      <c r="H20" s="15" t="s">
        <v>161</v>
      </c>
      <c r="I20" s="38"/>
    </row>
    <row r="21">
      <c r="A21" s="55" t="s">
        <v>219</v>
      </c>
      <c r="B21" s="46" t="s">
        <v>97</v>
      </c>
      <c r="C21" s="44">
        <v>26600.0</v>
      </c>
      <c r="D21" s="81">
        <v>46070.0</v>
      </c>
      <c r="E21" s="4" t="s">
        <v>201</v>
      </c>
      <c r="F21" s="38"/>
      <c r="G21" s="38"/>
      <c r="H21" s="38"/>
      <c r="I21" s="38"/>
    </row>
    <row r="22">
      <c r="A22" s="43" t="s">
        <v>141</v>
      </c>
      <c r="B22" s="43" t="s">
        <v>142</v>
      </c>
      <c r="C22" s="44">
        <v>1500.0</v>
      </c>
      <c r="D22" s="81">
        <v>46070.0</v>
      </c>
      <c r="E22" s="4" t="s">
        <v>143</v>
      </c>
      <c r="F22" s="38"/>
      <c r="G22" s="38"/>
      <c r="H22" s="38"/>
      <c r="I22" s="38"/>
    </row>
    <row r="23">
      <c r="A23" s="48" t="s">
        <v>107</v>
      </c>
      <c r="B23" s="46" t="s">
        <v>220</v>
      </c>
      <c r="C23" s="44">
        <v>50000.0</v>
      </c>
      <c r="D23" s="81">
        <v>46071.0</v>
      </c>
      <c r="E23" s="4" t="s">
        <v>221</v>
      </c>
      <c r="F23" s="38"/>
      <c r="G23" s="38"/>
      <c r="H23" s="38"/>
      <c r="I23" s="38"/>
    </row>
    <row r="24">
      <c r="A24" s="48" t="s">
        <v>105</v>
      </c>
      <c r="B24" s="46" t="s">
        <v>220</v>
      </c>
      <c r="C24" s="44">
        <v>80000.0</v>
      </c>
      <c r="D24" s="81">
        <v>46071.0</v>
      </c>
      <c r="E24" s="4" t="s">
        <v>221</v>
      </c>
      <c r="F24" s="38"/>
      <c r="G24" s="38"/>
      <c r="H24" s="38"/>
      <c r="I24" s="38"/>
    </row>
    <row r="25">
      <c r="A25" s="79" t="s">
        <v>222</v>
      </c>
      <c r="B25" s="46" t="s">
        <v>145</v>
      </c>
      <c r="C25" s="44">
        <v>4000.0</v>
      </c>
      <c r="D25" s="81">
        <v>46072.0</v>
      </c>
      <c r="E25" s="4" t="s">
        <v>120</v>
      </c>
      <c r="F25" s="38"/>
      <c r="G25" s="38"/>
      <c r="H25" s="38"/>
      <c r="I25" s="38"/>
    </row>
    <row r="26">
      <c r="A26" s="54" t="s">
        <v>175</v>
      </c>
      <c r="B26" s="83" t="s">
        <v>223</v>
      </c>
      <c r="C26" s="75">
        <v>44161.0</v>
      </c>
      <c r="D26" s="81">
        <v>46072.0</v>
      </c>
      <c r="E26" s="4" t="s">
        <v>201</v>
      </c>
      <c r="F26" s="38"/>
      <c r="G26" s="60"/>
      <c r="H26" s="60"/>
      <c r="I26" s="38"/>
    </row>
    <row r="27">
      <c r="A27" s="59" t="s">
        <v>108</v>
      </c>
      <c r="B27" s="46" t="s">
        <v>224</v>
      </c>
      <c r="C27" s="53">
        <v>7000.0</v>
      </c>
      <c r="D27" s="81">
        <v>46072.0</v>
      </c>
      <c r="E27" s="4" t="s">
        <v>201</v>
      </c>
      <c r="F27" s="38"/>
      <c r="G27" s="60"/>
      <c r="H27" s="61"/>
      <c r="I27" s="38"/>
    </row>
    <row r="28">
      <c r="A28" s="80" t="s">
        <v>225</v>
      </c>
      <c r="B28" s="46" t="s">
        <v>145</v>
      </c>
      <c r="C28" s="53">
        <v>4000.0</v>
      </c>
      <c r="D28" s="84">
        <v>46073.0</v>
      </c>
      <c r="E28" s="4" t="s">
        <v>120</v>
      </c>
      <c r="F28" s="38"/>
      <c r="G28" s="60"/>
      <c r="H28" s="60"/>
      <c r="I28" s="38"/>
    </row>
    <row r="29">
      <c r="A29" s="80" t="s">
        <v>226</v>
      </c>
      <c r="B29" s="46" t="s">
        <v>145</v>
      </c>
      <c r="C29" s="53">
        <v>4000.0</v>
      </c>
      <c r="D29" s="84">
        <v>46073.0</v>
      </c>
      <c r="E29" s="4" t="s">
        <v>120</v>
      </c>
      <c r="F29" s="38"/>
      <c r="G29" s="60"/>
      <c r="H29" s="60"/>
      <c r="I29" s="38"/>
    </row>
    <row r="30">
      <c r="A30" s="59" t="s">
        <v>117</v>
      </c>
      <c r="B30" s="46" t="s">
        <v>97</v>
      </c>
      <c r="C30" s="53">
        <v>33150.0</v>
      </c>
      <c r="D30" s="84">
        <v>46074.0</v>
      </c>
      <c r="E30" s="4" t="s">
        <v>201</v>
      </c>
      <c r="F30" s="38"/>
      <c r="G30" s="60"/>
      <c r="H30" s="60"/>
      <c r="I30" s="38"/>
    </row>
    <row r="31">
      <c r="A31" s="59" t="s">
        <v>98</v>
      </c>
      <c r="B31" s="46" t="s">
        <v>227</v>
      </c>
      <c r="C31" s="53">
        <v>20299.0</v>
      </c>
      <c r="D31" s="84">
        <v>46074.0</v>
      </c>
      <c r="E31" s="4" t="s">
        <v>143</v>
      </c>
      <c r="F31" s="38"/>
      <c r="G31" s="60"/>
      <c r="H31" s="60"/>
      <c r="I31" s="38"/>
    </row>
    <row r="32">
      <c r="A32" s="46" t="s">
        <v>228</v>
      </c>
      <c r="B32" s="46" t="s">
        <v>229</v>
      </c>
      <c r="C32" s="53">
        <v>15960.0</v>
      </c>
      <c r="D32" s="84">
        <v>46075.0</v>
      </c>
      <c r="E32" s="4" t="s">
        <v>201</v>
      </c>
      <c r="F32" s="38"/>
      <c r="G32" s="60"/>
      <c r="H32" s="60"/>
      <c r="I32" s="38"/>
    </row>
    <row r="33">
      <c r="A33" s="80" t="s">
        <v>230</v>
      </c>
      <c r="B33" s="46" t="s">
        <v>145</v>
      </c>
      <c r="C33" s="53">
        <v>11250.0</v>
      </c>
      <c r="D33" s="84">
        <v>46075.0</v>
      </c>
      <c r="E33" s="8" t="s">
        <v>151</v>
      </c>
      <c r="F33" s="38"/>
      <c r="G33" s="60"/>
      <c r="H33" s="60"/>
      <c r="I33" s="38"/>
    </row>
    <row r="34">
      <c r="A34" s="80" t="s">
        <v>231</v>
      </c>
      <c r="B34" s="46" t="s">
        <v>145</v>
      </c>
      <c r="C34" s="53">
        <v>4000.0</v>
      </c>
      <c r="D34" s="84">
        <v>46076.0</v>
      </c>
      <c r="E34" s="4" t="s">
        <v>120</v>
      </c>
      <c r="F34" s="38"/>
      <c r="G34" s="60"/>
      <c r="H34" s="60"/>
      <c r="I34" s="38"/>
    </row>
    <row r="35">
      <c r="A35" s="80" t="s">
        <v>232</v>
      </c>
      <c r="B35" s="46" t="s">
        <v>145</v>
      </c>
      <c r="C35" s="53">
        <v>3000.0</v>
      </c>
      <c r="D35" s="84">
        <v>46077.0</v>
      </c>
      <c r="E35" s="4" t="s">
        <v>120</v>
      </c>
      <c r="F35" s="38"/>
      <c r="G35" s="60"/>
      <c r="H35" s="60"/>
      <c r="I35" s="38"/>
    </row>
    <row r="36">
      <c r="A36" s="80" t="s">
        <v>233</v>
      </c>
      <c r="B36" s="46" t="s">
        <v>145</v>
      </c>
      <c r="C36" s="53">
        <v>4000.0</v>
      </c>
      <c r="D36" s="84">
        <v>46077.0</v>
      </c>
      <c r="E36" s="4" t="s">
        <v>120</v>
      </c>
      <c r="F36" s="38"/>
      <c r="G36" s="60"/>
      <c r="H36" s="60"/>
      <c r="I36" s="38"/>
    </row>
    <row r="37">
      <c r="A37" s="54" t="s">
        <v>81</v>
      </c>
      <c r="B37" s="46" t="s">
        <v>234</v>
      </c>
      <c r="C37" s="53">
        <v>21547.0</v>
      </c>
      <c r="D37" s="84">
        <v>46077.0</v>
      </c>
      <c r="E37" s="4" t="s">
        <v>235</v>
      </c>
      <c r="F37" s="38"/>
      <c r="G37" s="60"/>
      <c r="H37" s="60"/>
      <c r="I37" s="38"/>
    </row>
    <row r="38">
      <c r="A38" s="43" t="s">
        <v>141</v>
      </c>
      <c r="B38" s="43" t="s">
        <v>142</v>
      </c>
      <c r="C38" s="44">
        <v>1500.0</v>
      </c>
      <c r="D38" s="81">
        <v>46078.0</v>
      </c>
      <c r="E38" s="4" t="s">
        <v>143</v>
      </c>
      <c r="F38" s="38"/>
      <c r="G38" s="60"/>
      <c r="H38" s="60"/>
      <c r="I38" s="38"/>
    </row>
    <row r="39">
      <c r="A39" s="59" t="s">
        <v>114</v>
      </c>
      <c r="B39" s="46" t="s">
        <v>236</v>
      </c>
      <c r="C39" s="62">
        <v>10000.0</v>
      </c>
      <c r="D39" s="81">
        <v>46078.0</v>
      </c>
      <c r="E39" s="4" t="s">
        <v>143</v>
      </c>
      <c r="F39" s="38"/>
      <c r="G39" s="60"/>
      <c r="H39" s="60"/>
      <c r="I39" s="38"/>
    </row>
    <row r="40">
      <c r="A40" s="46" t="s">
        <v>237</v>
      </c>
      <c r="B40" s="46" t="s">
        <v>238</v>
      </c>
      <c r="C40" s="62">
        <v>15560.0</v>
      </c>
      <c r="D40" s="81">
        <v>46078.0</v>
      </c>
      <c r="E40" s="4" t="s">
        <v>239</v>
      </c>
      <c r="F40" s="38"/>
      <c r="G40" s="60"/>
      <c r="H40" s="60"/>
      <c r="I40" s="38"/>
    </row>
    <row r="41">
      <c r="A41" s="54" t="s">
        <v>122</v>
      </c>
      <c r="B41" s="46" t="s">
        <v>240</v>
      </c>
      <c r="C41" s="62">
        <v>27840.0</v>
      </c>
      <c r="D41" s="84">
        <v>46079.0</v>
      </c>
      <c r="E41" s="4" t="s">
        <v>201</v>
      </c>
      <c r="F41" s="38"/>
      <c r="G41" s="60"/>
      <c r="H41" s="60"/>
      <c r="I41" s="38"/>
    </row>
    <row r="42">
      <c r="A42" s="80" t="s">
        <v>241</v>
      </c>
      <c r="B42" s="46" t="s">
        <v>145</v>
      </c>
      <c r="C42" s="62">
        <v>14250.0</v>
      </c>
      <c r="D42" s="84">
        <v>46080.0</v>
      </c>
      <c r="E42" s="4" t="s">
        <v>151</v>
      </c>
      <c r="F42" s="38"/>
      <c r="G42" s="60"/>
      <c r="H42" s="60"/>
      <c r="I42" s="38"/>
    </row>
    <row r="43">
      <c r="A43" s="59" t="s">
        <v>114</v>
      </c>
      <c r="B43" s="46" t="s">
        <v>236</v>
      </c>
      <c r="C43" s="62">
        <v>29325.0</v>
      </c>
      <c r="D43" s="84">
        <v>46080.0</v>
      </c>
      <c r="E43" s="4" t="s">
        <v>201</v>
      </c>
      <c r="F43" s="38"/>
      <c r="G43" s="60"/>
      <c r="H43" s="60"/>
      <c r="I43" s="38"/>
    </row>
    <row r="44">
      <c r="A44" s="46" t="s">
        <v>242</v>
      </c>
      <c r="B44" s="46" t="s">
        <v>243</v>
      </c>
      <c r="C44" s="62">
        <v>3240.0</v>
      </c>
      <c r="D44" s="84">
        <v>46081.0</v>
      </c>
      <c r="E44" s="4"/>
      <c r="F44" s="38"/>
      <c r="G44" s="60"/>
      <c r="H44" s="60"/>
      <c r="I44" s="38"/>
    </row>
    <row r="45">
      <c r="A45" s="43" t="s">
        <v>141</v>
      </c>
      <c r="B45" s="43" t="s">
        <v>142</v>
      </c>
      <c r="C45" s="44">
        <v>1500.0</v>
      </c>
      <c r="D45" s="81">
        <v>46080.0</v>
      </c>
      <c r="E45" s="4" t="s">
        <v>143</v>
      </c>
      <c r="F45" s="38"/>
      <c r="G45" s="60"/>
      <c r="H45" s="60"/>
      <c r="I45" s="38"/>
    </row>
    <row r="46">
      <c r="A46" s="43" t="s">
        <v>244</v>
      </c>
      <c r="B46" s="43" t="s">
        <v>142</v>
      </c>
      <c r="C46" s="44">
        <v>2000.0</v>
      </c>
      <c r="D46" s="81">
        <v>46080.0</v>
      </c>
      <c r="E46" s="4" t="s">
        <v>151</v>
      </c>
      <c r="F46" s="38"/>
      <c r="G46" s="60"/>
      <c r="H46" s="60"/>
      <c r="I46" s="38"/>
    </row>
    <row r="47">
      <c r="A47" s="59" t="s">
        <v>111</v>
      </c>
      <c r="B47" s="46" t="s">
        <v>97</v>
      </c>
      <c r="C47" s="62"/>
      <c r="D47" s="84"/>
      <c r="E47" s="4"/>
      <c r="F47" s="38"/>
      <c r="G47" s="60"/>
      <c r="H47" s="60"/>
      <c r="I47" s="38"/>
    </row>
    <row r="48">
      <c r="A48" s="54" t="s">
        <v>129</v>
      </c>
      <c r="B48" s="76" t="s">
        <v>245</v>
      </c>
      <c r="C48" s="62">
        <v>386773.19</v>
      </c>
      <c r="D48" s="84">
        <v>46081.0</v>
      </c>
      <c r="E48" s="68" t="s">
        <v>246</v>
      </c>
      <c r="F48" s="38"/>
      <c r="G48" s="67" t="s">
        <v>247</v>
      </c>
      <c r="H48" s="60"/>
      <c r="I48" s="38"/>
    </row>
    <row r="49">
      <c r="A49" s="63" t="s">
        <v>44</v>
      </c>
      <c r="B49" s="46"/>
      <c r="C49" s="62">
        <v>5456.08</v>
      </c>
      <c r="D49" s="26"/>
      <c r="E49" s="68"/>
      <c r="F49" s="38"/>
      <c r="G49" s="38"/>
      <c r="H49" s="38"/>
      <c r="I49" s="38"/>
    </row>
    <row r="50">
      <c r="A50" s="63" t="s">
        <v>195</v>
      </c>
      <c r="B50" s="46"/>
      <c r="C50" s="62">
        <v>15351.9</v>
      </c>
      <c r="D50" s="26"/>
      <c r="E50" s="68"/>
      <c r="F50" s="38"/>
      <c r="G50" s="38"/>
      <c r="H50" s="38"/>
      <c r="I50" s="38"/>
    </row>
    <row r="51">
      <c r="A51" s="52" t="s">
        <v>43</v>
      </c>
      <c r="B51" s="46"/>
      <c r="C51" s="62">
        <v>61092.84</v>
      </c>
      <c r="D51" s="26"/>
      <c r="E51" s="68"/>
      <c r="F51" s="38"/>
      <c r="G51" s="38"/>
      <c r="H51" s="38"/>
      <c r="I51" s="38"/>
    </row>
    <row r="52">
      <c r="A52" s="43" t="s">
        <v>46</v>
      </c>
      <c r="B52" s="43"/>
      <c r="C52" s="44">
        <f>SUM(C2:C51)</f>
        <v>1351040.71</v>
      </c>
      <c r="D52" s="4"/>
      <c r="E52" s="4"/>
      <c r="F52" s="38"/>
      <c r="G52" s="38"/>
      <c r="H52" s="38"/>
      <c r="I52" s="38"/>
    </row>
    <row r="53">
      <c r="A53" s="31"/>
      <c r="B53" s="31"/>
      <c r="C53" s="32"/>
    </row>
    <row r="54">
      <c r="A54" s="69"/>
      <c r="B54" s="35" t="s">
        <v>134</v>
      </c>
      <c r="C54" s="32"/>
    </row>
    <row r="55">
      <c r="A55" s="31"/>
      <c r="B55" s="31"/>
      <c r="C55" s="32"/>
    </row>
    <row r="56">
      <c r="A56" s="70"/>
      <c r="B56" s="35" t="s">
        <v>135</v>
      </c>
      <c r="C56" s="32"/>
      <c r="G56" s="33"/>
      <c r="H56" s="34"/>
    </row>
    <row r="57">
      <c r="A57" s="35"/>
      <c r="B57" s="35"/>
      <c r="C57" s="32"/>
    </row>
    <row r="58">
      <c r="A58" s="71"/>
      <c r="B58" s="35" t="s">
        <v>136</v>
      </c>
      <c r="C58" s="36"/>
    </row>
    <row r="59">
      <c r="A59" s="35"/>
      <c r="B59" s="35"/>
      <c r="C59" s="36"/>
    </row>
    <row r="60">
      <c r="A60" s="72"/>
      <c r="B60" s="35" t="s">
        <v>137</v>
      </c>
      <c r="C60" s="36"/>
    </row>
    <row r="61">
      <c r="C61" s="37"/>
    </row>
    <row r="62">
      <c r="A62" s="77"/>
      <c r="B62" s="15" t="s">
        <v>196</v>
      </c>
      <c r="C62" s="37"/>
    </row>
    <row r="63">
      <c r="C63" s="37"/>
    </row>
    <row r="64">
      <c r="C64" s="37"/>
    </row>
    <row r="65">
      <c r="C65" s="37"/>
    </row>
    <row r="66">
      <c r="C66" s="37"/>
    </row>
    <row r="67">
      <c r="C67" s="37"/>
    </row>
    <row r="68">
      <c r="C68" s="37"/>
    </row>
    <row r="69">
      <c r="C69" s="37"/>
    </row>
    <row r="70">
      <c r="C70" s="37"/>
    </row>
    <row r="71">
      <c r="C71" s="37"/>
    </row>
    <row r="72">
      <c r="C72" s="37"/>
    </row>
    <row r="73">
      <c r="C73" s="37"/>
    </row>
    <row r="74">
      <c r="C74" s="37"/>
    </row>
    <row r="75">
      <c r="C75" s="37"/>
    </row>
    <row r="76">
      <c r="C76" s="37"/>
    </row>
    <row r="77">
      <c r="C77" s="37"/>
    </row>
    <row r="78">
      <c r="C78" s="37"/>
    </row>
    <row r="79">
      <c r="C79" s="37"/>
    </row>
    <row r="80">
      <c r="C80" s="37"/>
    </row>
    <row r="81">
      <c r="C81" s="37"/>
    </row>
    <row r="82">
      <c r="C82" s="37"/>
    </row>
    <row r="83">
      <c r="C83" s="37"/>
    </row>
    <row r="84">
      <c r="C84" s="37"/>
    </row>
    <row r="85">
      <c r="C85" s="37"/>
    </row>
    <row r="86">
      <c r="C86" s="37"/>
    </row>
    <row r="87">
      <c r="C87" s="37"/>
    </row>
    <row r="88">
      <c r="C88" s="37"/>
    </row>
    <row r="89">
      <c r="C89" s="37"/>
    </row>
    <row r="90">
      <c r="C90" s="37"/>
    </row>
    <row r="91">
      <c r="C91" s="37"/>
    </row>
    <row r="92">
      <c r="C92" s="37"/>
    </row>
    <row r="93">
      <c r="C93" s="37"/>
    </row>
    <row r="94">
      <c r="C94" s="37"/>
    </row>
    <row r="95">
      <c r="C95" s="37"/>
    </row>
    <row r="96">
      <c r="C96" s="37"/>
    </row>
    <row r="97">
      <c r="C97" s="37"/>
    </row>
    <row r="98">
      <c r="C98" s="37"/>
    </row>
    <row r="99">
      <c r="C99" s="37"/>
    </row>
    <row r="100">
      <c r="C100" s="37"/>
    </row>
    <row r="101">
      <c r="C101" s="37"/>
    </row>
    <row r="102">
      <c r="C102" s="37"/>
    </row>
    <row r="103">
      <c r="C103" s="37"/>
    </row>
    <row r="104">
      <c r="C104" s="37"/>
    </row>
    <row r="105">
      <c r="C105" s="37"/>
    </row>
    <row r="106">
      <c r="C106" s="37"/>
    </row>
    <row r="107">
      <c r="C107" s="37"/>
    </row>
    <row r="108">
      <c r="C108" s="37"/>
    </row>
    <row r="109">
      <c r="C109" s="37"/>
    </row>
    <row r="110">
      <c r="C110" s="37"/>
    </row>
    <row r="111">
      <c r="C111" s="37"/>
    </row>
    <row r="112">
      <c r="C112" s="37"/>
    </row>
    <row r="113">
      <c r="C113" s="37"/>
    </row>
    <row r="114">
      <c r="C114" s="37"/>
    </row>
    <row r="115">
      <c r="C115" s="37"/>
    </row>
    <row r="116">
      <c r="C116" s="37"/>
    </row>
    <row r="117">
      <c r="C117" s="37"/>
    </row>
    <row r="118">
      <c r="C118" s="37"/>
    </row>
    <row r="119">
      <c r="C119" s="37"/>
    </row>
    <row r="120">
      <c r="C120" s="37"/>
    </row>
    <row r="121">
      <c r="C121" s="37"/>
    </row>
    <row r="122">
      <c r="C122" s="37"/>
    </row>
    <row r="123">
      <c r="C123" s="37"/>
    </row>
    <row r="124">
      <c r="C124" s="37"/>
    </row>
    <row r="125">
      <c r="C125" s="37"/>
    </row>
    <row r="126">
      <c r="C126" s="37"/>
    </row>
    <row r="127">
      <c r="C127" s="37"/>
    </row>
    <row r="128">
      <c r="C128" s="37"/>
    </row>
    <row r="129">
      <c r="C129" s="37"/>
    </row>
    <row r="130">
      <c r="C130" s="37"/>
    </row>
    <row r="131">
      <c r="C131" s="37"/>
    </row>
    <row r="132">
      <c r="C132" s="37"/>
    </row>
    <row r="133">
      <c r="C133" s="37"/>
    </row>
    <row r="134">
      <c r="C134" s="37"/>
    </row>
    <row r="135">
      <c r="C135" s="37"/>
    </row>
    <row r="136">
      <c r="C136" s="37"/>
    </row>
    <row r="137">
      <c r="C137" s="37"/>
    </row>
    <row r="138">
      <c r="C138" s="37"/>
    </row>
    <row r="139">
      <c r="C139" s="37"/>
    </row>
    <row r="140">
      <c r="C140" s="37"/>
    </row>
    <row r="141">
      <c r="C141" s="37"/>
    </row>
    <row r="142">
      <c r="C142" s="37"/>
    </row>
    <row r="143">
      <c r="C143" s="37"/>
    </row>
    <row r="144">
      <c r="C144" s="37"/>
    </row>
    <row r="145">
      <c r="C145" s="37"/>
    </row>
    <row r="146">
      <c r="C146" s="37"/>
    </row>
    <row r="147">
      <c r="C147" s="37"/>
    </row>
    <row r="148">
      <c r="C148" s="37"/>
    </row>
    <row r="149">
      <c r="C149" s="37"/>
    </row>
    <row r="150">
      <c r="C150" s="37"/>
    </row>
    <row r="151">
      <c r="C151" s="37"/>
    </row>
    <row r="152">
      <c r="C152" s="37"/>
    </row>
    <row r="153">
      <c r="C153" s="37"/>
    </row>
    <row r="154">
      <c r="C154" s="37"/>
    </row>
    <row r="155">
      <c r="C155" s="37"/>
    </row>
    <row r="156">
      <c r="C156" s="37"/>
    </row>
    <row r="157">
      <c r="C157" s="37"/>
    </row>
    <row r="158">
      <c r="C158" s="37"/>
    </row>
    <row r="159">
      <c r="C159" s="37"/>
    </row>
    <row r="160">
      <c r="C160" s="37"/>
    </row>
    <row r="161">
      <c r="C161" s="37"/>
    </row>
    <row r="162">
      <c r="C162" s="37"/>
    </row>
    <row r="163">
      <c r="C163" s="37"/>
    </row>
    <row r="164">
      <c r="C164" s="37"/>
    </row>
    <row r="165">
      <c r="C165" s="37"/>
    </row>
    <row r="166">
      <c r="C166" s="37"/>
    </row>
    <row r="167">
      <c r="C167" s="37"/>
    </row>
    <row r="168">
      <c r="C168" s="37"/>
    </row>
    <row r="169">
      <c r="C169" s="37"/>
    </row>
    <row r="170">
      <c r="C170" s="37"/>
    </row>
    <row r="171">
      <c r="C171" s="37"/>
    </row>
    <row r="172">
      <c r="C172" s="37"/>
    </row>
    <row r="173">
      <c r="C173" s="37"/>
    </row>
    <row r="174">
      <c r="C174" s="37"/>
    </row>
    <row r="175">
      <c r="C175" s="37"/>
    </row>
    <row r="176">
      <c r="C176" s="37"/>
    </row>
    <row r="177">
      <c r="C177" s="37"/>
    </row>
    <row r="178">
      <c r="C178" s="37"/>
    </row>
    <row r="179">
      <c r="C179" s="37"/>
    </row>
    <row r="180">
      <c r="C180" s="37"/>
    </row>
    <row r="181">
      <c r="C181" s="37"/>
    </row>
    <row r="182">
      <c r="C182" s="37"/>
    </row>
    <row r="183">
      <c r="C183" s="37"/>
    </row>
    <row r="184">
      <c r="C184" s="37"/>
    </row>
    <row r="185">
      <c r="C185" s="37"/>
    </row>
    <row r="186">
      <c r="C186" s="37"/>
    </row>
    <row r="187">
      <c r="C187" s="37"/>
    </row>
    <row r="188">
      <c r="C188" s="37"/>
    </row>
    <row r="189">
      <c r="C189" s="37"/>
    </row>
    <row r="190">
      <c r="C190" s="37"/>
    </row>
    <row r="191">
      <c r="C191" s="37"/>
    </row>
    <row r="192">
      <c r="C192" s="37"/>
    </row>
    <row r="193">
      <c r="C193" s="37"/>
    </row>
    <row r="194">
      <c r="C194" s="37"/>
    </row>
    <row r="195">
      <c r="C195" s="37"/>
    </row>
    <row r="196">
      <c r="C196" s="37"/>
    </row>
    <row r="197">
      <c r="C197" s="37"/>
    </row>
    <row r="198">
      <c r="C198" s="37"/>
    </row>
    <row r="199">
      <c r="C199" s="37"/>
    </row>
    <row r="200">
      <c r="C200" s="37"/>
    </row>
    <row r="201">
      <c r="C201" s="37"/>
    </row>
    <row r="202">
      <c r="C202" s="37"/>
    </row>
    <row r="203">
      <c r="C203" s="37"/>
    </row>
    <row r="204">
      <c r="C204" s="37"/>
    </row>
    <row r="205">
      <c r="C205" s="37"/>
    </row>
    <row r="206">
      <c r="C206" s="37"/>
    </row>
    <row r="207">
      <c r="C207" s="37"/>
    </row>
    <row r="208">
      <c r="C208" s="37"/>
    </row>
    <row r="209">
      <c r="C209" s="37"/>
    </row>
    <row r="210">
      <c r="C210" s="37"/>
    </row>
    <row r="211">
      <c r="C211" s="37"/>
    </row>
    <row r="212">
      <c r="C212" s="37"/>
    </row>
    <row r="213">
      <c r="C213" s="37"/>
    </row>
    <row r="214">
      <c r="C214" s="37"/>
    </row>
    <row r="215">
      <c r="C215" s="37"/>
    </row>
    <row r="216">
      <c r="C216" s="37"/>
    </row>
    <row r="217">
      <c r="C217" s="37"/>
    </row>
    <row r="218">
      <c r="C218" s="37"/>
    </row>
    <row r="219">
      <c r="C219" s="37"/>
    </row>
    <row r="220">
      <c r="C220" s="37"/>
    </row>
    <row r="221">
      <c r="C221" s="37"/>
    </row>
    <row r="222">
      <c r="C222" s="37"/>
    </row>
    <row r="223">
      <c r="C223" s="37"/>
    </row>
    <row r="224">
      <c r="C224" s="37"/>
    </row>
    <row r="225">
      <c r="C225" s="37"/>
    </row>
    <row r="226">
      <c r="C226" s="37"/>
    </row>
    <row r="227">
      <c r="C227" s="37"/>
    </row>
    <row r="228">
      <c r="C228" s="37"/>
    </row>
    <row r="229">
      <c r="C229" s="37"/>
    </row>
    <row r="230">
      <c r="C230" s="37"/>
    </row>
    <row r="231">
      <c r="C231" s="37"/>
    </row>
    <row r="232">
      <c r="C232" s="37"/>
    </row>
    <row r="233">
      <c r="C233" s="37"/>
    </row>
    <row r="234">
      <c r="C234" s="37"/>
    </row>
    <row r="235">
      <c r="C235" s="37"/>
    </row>
    <row r="236">
      <c r="C236" s="37"/>
    </row>
    <row r="237">
      <c r="C237" s="37"/>
    </row>
    <row r="238">
      <c r="C238" s="37"/>
    </row>
    <row r="239">
      <c r="C239" s="37"/>
    </row>
    <row r="240">
      <c r="C240" s="37"/>
    </row>
    <row r="241">
      <c r="C241" s="37"/>
    </row>
    <row r="242">
      <c r="C242" s="37"/>
    </row>
    <row r="243">
      <c r="C243" s="37"/>
    </row>
    <row r="244">
      <c r="C244" s="37"/>
    </row>
    <row r="245">
      <c r="C245" s="37"/>
    </row>
    <row r="246">
      <c r="C246" s="37"/>
    </row>
    <row r="247">
      <c r="C247" s="37"/>
    </row>
    <row r="248">
      <c r="C248" s="37"/>
    </row>
    <row r="249">
      <c r="C249" s="37"/>
    </row>
    <row r="250">
      <c r="C250" s="37"/>
    </row>
    <row r="251">
      <c r="C251" s="37"/>
    </row>
    <row r="252">
      <c r="C252" s="37"/>
    </row>
    <row r="253">
      <c r="C253" s="37"/>
    </row>
    <row r="254">
      <c r="C254" s="37"/>
    </row>
    <row r="255">
      <c r="C255" s="37"/>
    </row>
    <row r="256">
      <c r="C256" s="37"/>
    </row>
    <row r="257">
      <c r="C257" s="37"/>
    </row>
    <row r="258">
      <c r="C258" s="37"/>
    </row>
    <row r="259">
      <c r="C259" s="37"/>
    </row>
    <row r="260">
      <c r="C260" s="37"/>
    </row>
    <row r="261">
      <c r="C261" s="37"/>
    </row>
    <row r="262">
      <c r="C262" s="37"/>
    </row>
    <row r="263">
      <c r="C263" s="37"/>
    </row>
    <row r="264">
      <c r="C264" s="37"/>
    </row>
    <row r="265">
      <c r="C265" s="37"/>
    </row>
    <row r="266">
      <c r="C266" s="37"/>
    </row>
    <row r="267">
      <c r="C267" s="37"/>
    </row>
    <row r="268">
      <c r="C268" s="37"/>
    </row>
    <row r="269">
      <c r="C269" s="37"/>
    </row>
    <row r="270">
      <c r="C270" s="37"/>
    </row>
    <row r="271">
      <c r="C271" s="37"/>
    </row>
    <row r="272">
      <c r="C272" s="37"/>
    </row>
    <row r="273">
      <c r="C273" s="37"/>
    </row>
    <row r="274">
      <c r="C274" s="37"/>
    </row>
    <row r="275">
      <c r="C275" s="37"/>
    </row>
    <row r="276">
      <c r="C276" s="37"/>
    </row>
    <row r="277">
      <c r="C277" s="37"/>
    </row>
    <row r="278">
      <c r="C278" s="37"/>
    </row>
    <row r="279">
      <c r="C279" s="37"/>
    </row>
    <row r="280">
      <c r="C280" s="37"/>
    </row>
    <row r="281">
      <c r="C281" s="37"/>
    </row>
    <row r="282">
      <c r="C282" s="37"/>
    </row>
    <row r="283">
      <c r="C283" s="37"/>
    </row>
    <row r="284">
      <c r="C284" s="37"/>
    </row>
    <row r="285">
      <c r="C285" s="37"/>
    </row>
    <row r="286">
      <c r="C286" s="37"/>
    </row>
    <row r="287">
      <c r="C287" s="37"/>
    </row>
    <row r="288">
      <c r="C288" s="37"/>
    </row>
    <row r="289">
      <c r="C289" s="37"/>
    </row>
    <row r="290">
      <c r="C290" s="37"/>
    </row>
    <row r="291">
      <c r="C291" s="37"/>
    </row>
    <row r="292">
      <c r="C292" s="37"/>
    </row>
    <row r="293">
      <c r="C293" s="37"/>
    </row>
    <row r="294">
      <c r="C294" s="37"/>
    </row>
    <row r="295">
      <c r="C295" s="37"/>
    </row>
    <row r="296">
      <c r="C296" s="37"/>
    </row>
    <row r="297">
      <c r="C297" s="37"/>
    </row>
    <row r="298">
      <c r="C298" s="37"/>
    </row>
    <row r="299">
      <c r="C299" s="37"/>
    </row>
    <row r="300">
      <c r="C300" s="37"/>
    </row>
    <row r="301">
      <c r="C301" s="37"/>
    </row>
    <row r="302">
      <c r="C302" s="37"/>
    </row>
    <row r="303">
      <c r="C303" s="37"/>
    </row>
    <row r="304">
      <c r="C304" s="37"/>
    </row>
    <row r="305">
      <c r="C305" s="37"/>
    </row>
    <row r="306">
      <c r="C306" s="37"/>
    </row>
    <row r="307">
      <c r="C307" s="37"/>
    </row>
    <row r="308">
      <c r="C308" s="37"/>
    </row>
    <row r="309">
      <c r="C309" s="37"/>
    </row>
    <row r="310">
      <c r="C310" s="37"/>
    </row>
    <row r="311">
      <c r="C311" s="37"/>
    </row>
    <row r="312">
      <c r="C312" s="37"/>
    </row>
    <row r="313">
      <c r="C313" s="37"/>
    </row>
    <row r="314">
      <c r="C314" s="37"/>
    </row>
    <row r="315">
      <c r="C315" s="37"/>
    </row>
    <row r="316">
      <c r="C316" s="37"/>
    </row>
    <row r="317">
      <c r="C317" s="37"/>
    </row>
    <row r="318">
      <c r="C318" s="37"/>
    </row>
    <row r="319">
      <c r="C319" s="37"/>
    </row>
    <row r="320">
      <c r="C320" s="37"/>
    </row>
    <row r="321">
      <c r="C321" s="37"/>
    </row>
    <row r="322">
      <c r="C322" s="37"/>
    </row>
    <row r="323">
      <c r="C323" s="37"/>
    </row>
    <row r="324">
      <c r="C324" s="37"/>
    </row>
    <row r="325">
      <c r="C325" s="37"/>
    </row>
    <row r="326">
      <c r="C326" s="37"/>
    </row>
    <row r="327">
      <c r="C327" s="37"/>
    </row>
    <row r="328">
      <c r="C328" s="37"/>
    </row>
    <row r="329">
      <c r="C329" s="37"/>
    </row>
    <row r="330">
      <c r="C330" s="37"/>
    </row>
    <row r="331">
      <c r="C331" s="37"/>
    </row>
    <row r="332">
      <c r="C332" s="37"/>
    </row>
    <row r="333">
      <c r="C333" s="37"/>
    </row>
    <row r="334">
      <c r="C334" s="37"/>
    </row>
    <row r="335">
      <c r="C335" s="37"/>
    </row>
    <row r="336">
      <c r="C336" s="37"/>
    </row>
    <row r="337">
      <c r="C337" s="37"/>
    </row>
    <row r="338">
      <c r="C338" s="37"/>
    </row>
    <row r="339">
      <c r="C339" s="37"/>
    </row>
    <row r="340">
      <c r="C340" s="37"/>
    </row>
    <row r="341">
      <c r="C341" s="37"/>
    </row>
    <row r="342">
      <c r="C342" s="37"/>
    </row>
    <row r="343">
      <c r="C343" s="37"/>
    </row>
    <row r="344">
      <c r="C344" s="37"/>
    </row>
    <row r="345">
      <c r="C345" s="37"/>
    </row>
    <row r="346">
      <c r="C346" s="37"/>
    </row>
    <row r="347">
      <c r="C347" s="37"/>
    </row>
    <row r="348">
      <c r="C348" s="37"/>
    </row>
    <row r="349">
      <c r="C349" s="37"/>
    </row>
    <row r="350">
      <c r="C350" s="37"/>
    </row>
    <row r="351">
      <c r="C351" s="37"/>
    </row>
    <row r="352">
      <c r="C352" s="37"/>
    </row>
    <row r="353">
      <c r="C353" s="37"/>
    </row>
    <row r="354">
      <c r="C354" s="37"/>
    </row>
    <row r="355">
      <c r="C355" s="37"/>
    </row>
    <row r="356">
      <c r="C356" s="37"/>
    </row>
    <row r="357">
      <c r="C357" s="37"/>
    </row>
    <row r="358">
      <c r="C358" s="37"/>
    </row>
    <row r="359">
      <c r="C359" s="37"/>
    </row>
    <row r="360">
      <c r="C360" s="37"/>
    </row>
    <row r="361">
      <c r="C361" s="37"/>
    </row>
    <row r="362">
      <c r="C362" s="37"/>
    </row>
    <row r="363">
      <c r="C363" s="37"/>
    </row>
    <row r="364">
      <c r="C364" s="37"/>
    </row>
    <row r="365">
      <c r="C365" s="37"/>
    </row>
    <row r="366">
      <c r="C366" s="37"/>
    </row>
    <row r="367">
      <c r="C367" s="37"/>
    </row>
    <row r="368">
      <c r="C368" s="37"/>
    </row>
    <row r="369">
      <c r="C369" s="37"/>
    </row>
    <row r="370">
      <c r="C370" s="37"/>
    </row>
    <row r="371">
      <c r="C371" s="37"/>
    </row>
    <row r="372">
      <c r="C372" s="37"/>
    </row>
    <row r="373">
      <c r="C373" s="37"/>
    </row>
    <row r="374">
      <c r="C374" s="37"/>
    </row>
    <row r="375">
      <c r="C375" s="37"/>
    </row>
    <row r="376">
      <c r="C376" s="37"/>
    </row>
    <row r="377">
      <c r="C377" s="37"/>
    </row>
    <row r="378">
      <c r="C378" s="37"/>
    </row>
    <row r="379">
      <c r="C379" s="37"/>
    </row>
    <row r="380">
      <c r="C380" s="37"/>
    </row>
    <row r="381">
      <c r="C381" s="37"/>
    </row>
    <row r="382">
      <c r="C382" s="37"/>
    </row>
    <row r="383">
      <c r="C383" s="37"/>
    </row>
    <row r="384">
      <c r="C384" s="37"/>
    </row>
    <row r="385">
      <c r="C385" s="37"/>
    </row>
    <row r="386">
      <c r="C386" s="37"/>
    </row>
    <row r="387">
      <c r="C387" s="37"/>
    </row>
    <row r="388">
      <c r="C388" s="37"/>
    </row>
    <row r="389">
      <c r="C389" s="37"/>
    </row>
    <row r="390">
      <c r="C390" s="37"/>
    </row>
    <row r="391">
      <c r="C391" s="37"/>
    </row>
    <row r="392">
      <c r="C392" s="37"/>
    </row>
    <row r="393">
      <c r="C393" s="37"/>
    </row>
    <row r="394">
      <c r="C394" s="37"/>
    </row>
    <row r="395">
      <c r="C395" s="37"/>
    </row>
    <row r="396">
      <c r="C396" s="37"/>
    </row>
    <row r="397">
      <c r="C397" s="37"/>
    </row>
    <row r="398">
      <c r="C398" s="37"/>
    </row>
    <row r="399">
      <c r="C399" s="37"/>
    </row>
    <row r="400">
      <c r="C400" s="37"/>
    </row>
    <row r="401">
      <c r="C401" s="37"/>
    </row>
    <row r="402">
      <c r="C402" s="37"/>
    </row>
    <row r="403">
      <c r="C403" s="37"/>
    </row>
    <row r="404">
      <c r="C404" s="37"/>
    </row>
    <row r="405">
      <c r="C405" s="37"/>
    </row>
    <row r="406">
      <c r="C406" s="37"/>
    </row>
    <row r="407">
      <c r="C407" s="37"/>
    </row>
    <row r="408">
      <c r="C408" s="37"/>
    </row>
    <row r="409">
      <c r="C409" s="37"/>
    </row>
    <row r="410">
      <c r="C410" s="37"/>
    </row>
    <row r="411">
      <c r="C411" s="37"/>
    </row>
    <row r="412">
      <c r="C412" s="37"/>
    </row>
    <row r="413">
      <c r="C413" s="37"/>
    </row>
    <row r="414">
      <c r="C414" s="37"/>
    </row>
    <row r="415">
      <c r="C415" s="37"/>
    </row>
    <row r="416">
      <c r="C416" s="37"/>
    </row>
    <row r="417">
      <c r="C417" s="37"/>
    </row>
    <row r="418">
      <c r="C418" s="37"/>
    </row>
    <row r="419">
      <c r="C419" s="37"/>
    </row>
    <row r="420">
      <c r="C420" s="37"/>
    </row>
    <row r="421">
      <c r="C421" s="37"/>
    </row>
    <row r="422">
      <c r="C422" s="37"/>
    </row>
    <row r="423">
      <c r="C423" s="37"/>
    </row>
    <row r="424">
      <c r="C424" s="37"/>
    </row>
    <row r="425">
      <c r="C425" s="37"/>
    </row>
    <row r="426">
      <c r="C426" s="37"/>
    </row>
    <row r="427">
      <c r="C427" s="37"/>
    </row>
    <row r="428">
      <c r="C428" s="37"/>
    </row>
    <row r="429">
      <c r="C429" s="37"/>
    </row>
    <row r="430">
      <c r="C430" s="37"/>
    </row>
    <row r="431">
      <c r="C431" s="37"/>
    </row>
    <row r="432">
      <c r="C432" s="37"/>
    </row>
    <row r="433">
      <c r="C433" s="37"/>
    </row>
    <row r="434">
      <c r="C434" s="37"/>
    </row>
    <row r="435">
      <c r="C435" s="37"/>
    </row>
    <row r="436">
      <c r="C436" s="37"/>
    </row>
    <row r="437">
      <c r="C437" s="37"/>
    </row>
    <row r="438">
      <c r="C438" s="37"/>
    </row>
    <row r="439">
      <c r="C439" s="37"/>
    </row>
    <row r="440">
      <c r="C440" s="37"/>
    </row>
    <row r="441">
      <c r="C441" s="37"/>
    </row>
    <row r="442">
      <c r="C442" s="37"/>
    </row>
    <row r="443">
      <c r="C443" s="37"/>
    </row>
    <row r="444">
      <c r="C444" s="37"/>
    </row>
    <row r="445">
      <c r="C445" s="37"/>
    </row>
    <row r="446">
      <c r="C446" s="37"/>
    </row>
    <row r="447">
      <c r="C447" s="37"/>
    </row>
    <row r="448">
      <c r="C448" s="37"/>
    </row>
    <row r="449">
      <c r="C449" s="37"/>
    </row>
    <row r="450">
      <c r="C450" s="37"/>
    </row>
    <row r="451">
      <c r="C451" s="37"/>
    </row>
    <row r="452">
      <c r="C452" s="37"/>
    </row>
    <row r="453">
      <c r="C453" s="37"/>
    </row>
    <row r="454">
      <c r="C454" s="37"/>
    </row>
    <row r="455">
      <c r="C455" s="37"/>
    </row>
    <row r="456">
      <c r="C456" s="37"/>
    </row>
    <row r="457">
      <c r="C457" s="37"/>
    </row>
    <row r="458">
      <c r="C458" s="37"/>
    </row>
    <row r="459">
      <c r="C459" s="37"/>
    </row>
    <row r="460">
      <c r="C460" s="37"/>
    </row>
    <row r="461">
      <c r="C461" s="37"/>
    </row>
    <row r="462">
      <c r="C462" s="37"/>
    </row>
    <row r="463">
      <c r="C463" s="37"/>
    </row>
    <row r="464">
      <c r="C464" s="37"/>
    </row>
    <row r="465">
      <c r="C465" s="37"/>
    </row>
    <row r="466">
      <c r="C466" s="37"/>
    </row>
    <row r="467">
      <c r="C467" s="37"/>
    </row>
    <row r="468">
      <c r="C468" s="37"/>
    </row>
    <row r="469">
      <c r="C469" s="37"/>
    </row>
    <row r="470">
      <c r="C470" s="37"/>
    </row>
    <row r="471">
      <c r="C471" s="37"/>
    </row>
    <row r="472">
      <c r="C472" s="37"/>
    </row>
    <row r="473">
      <c r="C473" s="37"/>
    </row>
    <row r="474">
      <c r="C474" s="37"/>
    </row>
    <row r="475">
      <c r="C475" s="37"/>
    </row>
    <row r="476">
      <c r="C476" s="37"/>
    </row>
    <row r="477">
      <c r="C477" s="37"/>
    </row>
    <row r="478">
      <c r="C478" s="37"/>
    </row>
    <row r="479">
      <c r="C479" s="37"/>
    </row>
    <row r="480">
      <c r="C480" s="37"/>
    </row>
    <row r="481">
      <c r="C481" s="37"/>
    </row>
    <row r="482">
      <c r="C482" s="37"/>
    </row>
    <row r="483">
      <c r="C483" s="37"/>
    </row>
    <row r="484">
      <c r="C484" s="37"/>
    </row>
    <row r="485">
      <c r="C485" s="37"/>
    </row>
    <row r="486">
      <c r="C486" s="37"/>
    </row>
    <row r="487">
      <c r="C487" s="37"/>
    </row>
    <row r="488">
      <c r="C488" s="37"/>
    </row>
    <row r="489">
      <c r="C489" s="37"/>
    </row>
    <row r="490">
      <c r="C490" s="37"/>
    </row>
    <row r="491">
      <c r="C491" s="37"/>
    </row>
    <row r="492">
      <c r="C492" s="37"/>
    </row>
    <row r="493">
      <c r="C493" s="37"/>
    </row>
    <row r="494">
      <c r="C494" s="37"/>
    </row>
    <row r="495">
      <c r="C495" s="37"/>
    </row>
    <row r="496">
      <c r="C496" s="37"/>
    </row>
    <row r="497">
      <c r="C497" s="37"/>
    </row>
    <row r="498">
      <c r="C498" s="37"/>
    </row>
    <row r="499">
      <c r="C499" s="37"/>
    </row>
    <row r="500">
      <c r="C500" s="37"/>
    </row>
    <row r="501">
      <c r="C501" s="37"/>
    </row>
    <row r="502">
      <c r="C502" s="37"/>
    </row>
    <row r="503">
      <c r="C503" s="37"/>
    </row>
    <row r="504">
      <c r="C504" s="37"/>
    </row>
    <row r="505">
      <c r="C505" s="37"/>
    </row>
    <row r="506">
      <c r="C506" s="37"/>
    </row>
    <row r="507">
      <c r="C507" s="37"/>
    </row>
    <row r="508">
      <c r="C508" s="37"/>
    </row>
    <row r="509">
      <c r="C509" s="37"/>
    </row>
    <row r="510">
      <c r="C510" s="37"/>
    </row>
    <row r="511">
      <c r="C511" s="37"/>
    </row>
    <row r="512">
      <c r="C512" s="37"/>
    </row>
    <row r="513">
      <c r="C513" s="37"/>
    </row>
    <row r="514">
      <c r="C514" s="37"/>
    </row>
    <row r="515">
      <c r="C515" s="37"/>
    </row>
    <row r="516">
      <c r="C516" s="37"/>
    </row>
    <row r="517">
      <c r="C517" s="37"/>
    </row>
    <row r="518">
      <c r="C518" s="37"/>
    </row>
    <row r="519">
      <c r="C519" s="37"/>
    </row>
    <row r="520">
      <c r="C520" s="37"/>
    </row>
    <row r="521">
      <c r="C521" s="37"/>
    </row>
    <row r="522">
      <c r="C522" s="37"/>
    </row>
    <row r="523">
      <c r="C523" s="37"/>
    </row>
    <row r="524">
      <c r="C524" s="37"/>
    </row>
    <row r="525">
      <c r="C525" s="37"/>
    </row>
    <row r="526">
      <c r="C526" s="37"/>
    </row>
    <row r="527">
      <c r="C527" s="37"/>
    </row>
    <row r="528">
      <c r="C528" s="37"/>
    </row>
    <row r="529">
      <c r="C529" s="37"/>
    </row>
    <row r="530">
      <c r="C530" s="37"/>
    </row>
    <row r="531">
      <c r="C531" s="37"/>
    </row>
    <row r="532">
      <c r="C532" s="37"/>
    </row>
    <row r="533">
      <c r="C533" s="37"/>
    </row>
    <row r="534">
      <c r="C534" s="37"/>
    </row>
    <row r="535">
      <c r="C535" s="37"/>
    </row>
    <row r="536">
      <c r="C536" s="37"/>
    </row>
    <row r="537">
      <c r="C537" s="37"/>
    </row>
    <row r="538">
      <c r="C538" s="37"/>
    </row>
    <row r="539">
      <c r="C539" s="37"/>
    </row>
    <row r="540">
      <c r="C540" s="37"/>
    </row>
    <row r="541">
      <c r="C541" s="37"/>
    </row>
    <row r="542">
      <c r="C542" s="37"/>
    </row>
    <row r="543">
      <c r="C543" s="37"/>
    </row>
    <row r="544">
      <c r="C544" s="37"/>
    </row>
    <row r="545">
      <c r="C545" s="37"/>
    </row>
    <row r="546">
      <c r="C546" s="37"/>
    </row>
    <row r="547">
      <c r="C547" s="37"/>
    </row>
    <row r="548">
      <c r="C548" s="37"/>
    </row>
    <row r="549">
      <c r="C549" s="37"/>
    </row>
    <row r="550">
      <c r="C550" s="37"/>
    </row>
    <row r="551">
      <c r="C551" s="37"/>
    </row>
    <row r="552">
      <c r="C552" s="37"/>
    </row>
    <row r="553">
      <c r="C553" s="37"/>
    </row>
    <row r="554">
      <c r="C554" s="37"/>
    </row>
    <row r="555">
      <c r="C555" s="37"/>
    </row>
    <row r="556">
      <c r="C556" s="37"/>
    </row>
    <row r="557">
      <c r="C557" s="37"/>
    </row>
    <row r="558">
      <c r="C558" s="37"/>
    </row>
    <row r="559">
      <c r="C559" s="37"/>
    </row>
    <row r="560">
      <c r="C560" s="37"/>
    </row>
    <row r="561">
      <c r="C561" s="37"/>
    </row>
    <row r="562">
      <c r="C562" s="37"/>
    </row>
    <row r="563">
      <c r="C563" s="37"/>
    </row>
    <row r="564">
      <c r="C564" s="37"/>
    </row>
    <row r="565">
      <c r="C565" s="37"/>
    </row>
    <row r="566">
      <c r="C566" s="37"/>
    </row>
    <row r="567">
      <c r="C567" s="37"/>
    </row>
    <row r="568">
      <c r="C568" s="37"/>
    </row>
    <row r="569">
      <c r="C569" s="37"/>
    </row>
    <row r="570">
      <c r="C570" s="37"/>
    </row>
    <row r="571">
      <c r="C571" s="37"/>
    </row>
    <row r="572">
      <c r="C572" s="37"/>
    </row>
    <row r="573">
      <c r="C573" s="37"/>
    </row>
    <row r="574">
      <c r="C574" s="37"/>
    </row>
    <row r="575">
      <c r="C575" s="37"/>
    </row>
    <row r="576">
      <c r="C576" s="37"/>
    </row>
    <row r="577">
      <c r="C577" s="37"/>
    </row>
    <row r="578">
      <c r="C578" s="37"/>
    </row>
    <row r="579">
      <c r="C579" s="37"/>
    </row>
    <row r="580">
      <c r="C580" s="37"/>
    </row>
    <row r="581">
      <c r="C581" s="37"/>
    </row>
    <row r="582">
      <c r="C582" s="37"/>
    </row>
    <row r="583">
      <c r="C583" s="37"/>
    </row>
    <row r="584">
      <c r="C584" s="37"/>
    </row>
    <row r="585">
      <c r="C585" s="37"/>
    </row>
    <row r="586">
      <c r="C586" s="37"/>
    </row>
    <row r="587">
      <c r="C587" s="37"/>
    </row>
    <row r="588">
      <c r="C588" s="37"/>
    </row>
    <row r="589">
      <c r="C589" s="37"/>
    </row>
    <row r="590">
      <c r="C590" s="37"/>
    </row>
    <row r="591">
      <c r="C591" s="37"/>
    </row>
    <row r="592">
      <c r="C592" s="37"/>
    </row>
    <row r="593">
      <c r="C593" s="37"/>
    </row>
    <row r="594">
      <c r="C594" s="37"/>
    </row>
    <row r="595">
      <c r="C595" s="37"/>
    </row>
    <row r="596">
      <c r="C596" s="37"/>
    </row>
    <row r="597">
      <c r="C597" s="37"/>
    </row>
    <row r="598">
      <c r="C598" s="37"/>
    </row>
    <row r="599">
      <c r="C599" s="37"/>
    </row>
    <row r="600">
      <c r="C600" s="37"/>
    </row>
    <row r="601">
      <c r="C601" s="37"/>
    </row>
    <row r="602">
      <c r="C602" s="37"/>
    </row>
    <row r="603">
      <c r="C603" s="37"/>
    </row>
    <row r="604">
      <c r="C604" s="37"/>
    </row>
    <row r="605">
      <c r="C605" s="37"/>
    </row>
    <row r="606">
      <c r="C606" s="37"/>
    </row>
    <row r="607">
      <c r="C607" s="37"/>
    </row>
    <row r="608">
      <c r="C608" s="37"/>
    </row>
    <row r="609">
      <c r="C609" s="37"/>
    </row>
    <row r="610">
      <c r="C610" s="37"/>
    </row>
    <row r="611">
      <c r="C611" s="37"/>
    </row>
    <row r="612">
      <c r="C612" s="37"/>
    </row>
    <row r="613">
      <c r="C613" s="37"/>
    </row>
    <row r="614">
      <c r="C614" s="37"/>
    </row>
    <row r="615">
      <c r="C615" s="37"/>
    </row>
    <row r="616">
      <c r="C616" s="37"/>
    </row>
    <row r="617">
      <c r="C617" s="37"/>
    </row>
    <row r="618">
      <c r="C618" s="37"/>
    </row>
    <row r="619">
      <c r="C619" s="37"/>
    </row>
    <row r="620">
      <c r="C620" s="37"/>
    </row>
    <row r="621">
      <c r="C621" s="37"/>
    </row>
    <row r="622">
      <c r="C622" s="37"/>
    </row>
    <row r="623">
      <c r="C623" s="37"/>
    </row>
    <row r="624">
      <c r="C624" s="37"/>
    </row>
    <row r="625">
      <c r="C625" s="37"/>
    </row>
    <row r="626">
      <c r="C626" s="37"/>
    </row>
    <row r="627">
      <c r="C627" s="37"/>
    </row>
    <row r="628">
      <c r="C628" s="37"/>
    </row>
    <row r="629">
      <c r="C629" s="37"/>
    </row>
    <row r="630">
      <c r="C630" s="37"/>
    </row>
    <row r="631">
      <c r="C631" s="37"/>
    </row>
    <row r="632">
      <c r="C632" s="37"/>
    </row>
    <row r="633">
      <c r="C633" s="37"/>
    </row>
    <row r="634">
      <c r="C634" s="37"/>
    </row>
    <row r="635">
      <c r="C635" s="37"/>
    </row>
    <row r="636">
      <c r="C636" s="37"/>
    </row>
    <row r="637">
      <c r="C637" s="37"/>
    </row>
    <row r="638">
      <c r="C638" s="37"/>
    </row>
    <row r="639">
      <c r="C639" s="37"/>
    </row>
    <row r="640">
      <c r="C640" s="37"/>
    </row>
    <row r="641">
      <c r="C641" s="37"/>
    </row>
    <row r="642">
      <c r="C642" s="37"/>
    </row>
    <row r="643">
      <c r="C643" s="37"/>
    </row>
    <row r="644">
      <c r="C644" s="37"/>
    </row>
    <row r="645">
      <c r="C645" s="37"/>
    </row>
    <row r="646">
      <c r="C646" s="37"/>
    </row>
    <row r="647">
      <c r="C647" s="37"/>
    </row>
    <row r="648">
      <c r="C648" s="37"/>
    </row>
    <row r="649">
      <c r="C649" s="37"/>
    </row>
    <row r="650">
      <c r="C650" s="37"/>
    </row>
    <row r="651">
      <c r="C651" s="37"/>
    </row>
    <row r="652">
      <c r="C652" s="37"/>
    </row>
    <row r="653">
      <c r="C653" s="37"/>
    </row>
    <row r="654">
      <c r="C654" s="37"/>
    </row>
    <row r="655">
      <c r="C655" s="37"/>
    </row>
    <row r="656">
      <c r="C656" s="37"/>
    </row>
    <row r="657">
      <c r="C657" s="37"/>
    </row>
    <row r="658">
      <c r="C658" s="37"/>
    </row>
    <row r="659">
      <c r="C659" s="37"/>
    </row>
    <row r="660">
      <c r="C660" s="37"/>
    </row>
    <row r="661">
      <c r="C661" s="37"/>
    </row>
    <row r="662">
      <c r="C662" s="37"/>
    </row>
    <row r="663">
      <c r="C663" s="37"/>
    </row>
    <row r="664">
      <c r="C664" s="37"/>
    </row>
    <row r="665">
      <c r="C665" s="37"/>
    </row>
    <row r="666">
      <c r="C666" s="37"/>
    </row>
    <row r="667">
      <c r="C667" s="37"/>
    </row>
    <row r="668">
      <c r="C668" s="37"/>
    </row>
    <row r="669">
      <c r="C669" s="37"/>
    </row>
    <row r="670">
      <c r="C670" s="37"/>
    </row>
    <row r="671">
      <c r="C671" s="37"/>
    </row>
    <row r="672">
      <c r="C672" s="37"/>
    </row>
    <row r="673">
      <c r="C673" s="37"/>
    </row>
    <row r="674">
      <c r="C674" s="37"/>
    </row>
    <row r="675">
      <c r="C675" s="37"/>
    </row>
    <row r="676">
      <c r="C676" s="37"/>
    </row>
    <row r="677">
      <c r="C677" s="37"/>
    </row>
    <row r="678">
      <c r="C678" s="37"/>
    </row>
    <row r="679">
      <c r="C679" s="37"/>
    </row>
    <row r="680">
      <c r="C680" s="37"/>
    </row>
    <row r="681">
      <c r="C681" s="37"/>
    </row>
    <row r="682">
      <c r="C682" s="37"/>
    </row>
    <row r="683">
      <c r="C683" s="37"/>
    </row>
    <row r="684">
      <c r="C684" s="37"/>
    </row>
    <row r="685">
      <c r="C685" s="37"/>
    </row>
    <row r="686">
      <c r="C686" s="37"/>
    </row>
    <row r="687">
      <c r="C687" s="37"/>
    </row>
    <row r="688">
      <c r="C688" s="37"/>
    </row>
    <row r="689">
      <c r="C689" s="37"/>
    </row>
    <row r="690">
      <c r="C690" s="37"/>
    </row>
    <row r="691">
      <c r="C691" s="37"/>
    </row>
    <row r="692">
      <c r="C692" s="37"/>
    </row>
    <row r="693">
      <c r="C693" s="37"/>
    </row>
    <row r="694">
      <c r="C694" s="37"/>
    </row>
    <row r="695">
      <c r="C695" s="37"/>
    </row>
    <row r="696">
      <c r="C696" s="37"/>
    </row>
    <row r="697">
      <c r="C697" s="37"/>
    </row>
    <row r="698">
      <c r="C698" s="37"/>
    </row>
    <row r="699">
      <c r="C699" s="37"/>
    </row>
    <row r="700">
      <c r="C700" s="37"/>
    </row>
    <row r="701">
      <c r="C701" s="37"/>
    </row>
    <row r="702">
      <c r="C702" s="37"/>
    </row>
    <row r="703">
      <c r="C703" s="37"/>
    </row>
    <row r="704">
      <c r="C704" s="37"/>
    </row>
    <row r="705">
      <c r="C705" s="37"/>
    </row>
    <row r="706">
      <c r="C706" s="37"/>
    </row>
    <row r="707">
      <c r="C707" s="37"/>
    </row>
    <row r="708">
      <c r="C708" s="37"/>
    </row>
    <row r="709">
      <c r="C709" s="37"/>
    </row>
    <row r="710">
      <c r="C710" s="37"/>
    </row>
    <row r="711">
      <c r="C711" s="37"/>
    </row>
    <row r="712">
      <c r="C712" s="37"/>
    </row>
    <row r="713">
      <c r="C713" s="37"/>
    </row>
    <row r="714">
      <c r="C714" s="37"/>
    </row>
    <row r="715">
      <c r="C715" s="37"/>
    </row>
    <row r="716">
      <c r="C716" s="37"/>
    </row>
    <row r="717">
      <c r="C717" s="37"/>
    </row>
    <row r="718">
      <c r="C718" s="37"/>
    </row>
    <row r="719">
      <c r="C719" s="37"/>
    </row>
    <row r="720">
      <c r="C720" s="37"/>
    </row>
    <row r="721">
      <c r="C721" s="37"/>
    </row>
    <row r="722">
      <c r="C722" s="37"/>
    </row>
    <row r="723">
      <c r="C723" s="37"/>
    </row>
    <row r="724">
      <c r="C724" s="37"/>
    </row>
    <row r="725">
      <c r="C725" s="37"/>
    </row>
    <row r="726">
      <c r="C726" s="37"/>
    </row>
    <row r="727">
      <c r="C727" s="37"/>
    </row>
    <row r="728">
      <c r="C728" s="37"/>
    </row>
    <row r="729">
      <c r="C729" s="37"/>
    </row>
    <row r="730">
      <c r="C730" s="37"/>
    </row>
    <row r="731">
      <c r="C731" s="37"/>
    </row>
    <row r="732">
      <c r="C732" s="37"/>
    </row>
    <row r="733">
      <c r="C733" s="37"/>
    </row>
    <row r="734">
      <c r="C734" s="37"/>
    </row>
    <row r="735">
      <c r="C735" s="37"/>
    </row>
    <row r="736">
      <c r="C736" s="37"/>
    </row>
    <row r="737">
      <c r="C737" s="37"/>
    </row>
    <row r="738">
      <c r="C738" s="37"/>
    </row>
    <row r="739">
      <c r="C739" s="37"/>
    </row>
    <row r="740">
      <c r="C740" s="37"/>
    </row>
    <row r="741">
      <c r="C741" s="37"/>
    </row>
    <row r="742">
      <c r="C742" s="37"/>
    </row>
    <row r="743">
      <c r="C743" s="37"/>
    </row>
    <row r="744">
      <c r="C744" s="37"/>
    </row>
    <row r="745">
      <c r="C745" s="37"/>
    </row>
    <row r="746">
      <c r="C746" s="37"/>
    </row>
    <row r="747">
      <c r="C747" s="37"/>
    </row>
    <row r="748">
      <c r="C748" s="37"/>
    </row>
    <row r="749">
      <c r="C749" s="37"/>
    </row>
    <row r="750">
      <c r="C750" s="37"/>
    </row>
    <row r="751">
      <c r="C751" s="37"/>
    </row>
    <row r="752">
      <c r="C752" s="37"/>
    </row>
    <row r="753">
      <c r="C753" s="37"/>
    </row>
    <row r="754">
      <c r="C754" s="37"/>
    </row>
    <row r="755">
      <c r="C755" s="37"/>
    </row>
    <row r="756">
      <c r="C756" s="37"/>
    </row>
    <row r="757">
      <c r="C757" s="37"/>
    </row>
    <row r="758">
      <c r="C758" s="37"/>
    </row>
    <row r="759">
      <c r="C759" s="37"/>
    </row>
    <row r="760">
      <c r="C760" s="37"/>
    </row>
    <row r="761">
      <c r="C761" s="37"/>
    </row>
    <row r="762">
      <c r="C762" s="37"/>
    </row>
    <row r="763">
      <c r="C763" s="37"/>
    </row>
    <row r="764">
      <c r="C764" s="37"/>
    </row>
    <row r="765">
      <c r="C765" s="37"/>
    </row>
    <row r="766">
      <c r="C766" s="37"/>
    </row>
    <row r="767">
      <c r="C767" s="37"/>
    </row>
    <row r="768">
      <c r="C768" s="37"/>
    </row>
    <row r="769">
      <c r="C769" s="37"/>
    </row>
    <row r="770">
      <c r="C770" s="37"/>
    </row>
    <row r="771">
      <c r="C771" s="37"/>
    </row>
    <row r="772">
      <c r="C772" s="37"/>
    </row>
    <row r="773">
      <c r="C773" s="37"/>
    </row>
    <row r="774">
      <c r="C774" s="37"/>
    </row>
    <row r="775">
      <c r="C775" s="37"/>
    </row>
    <row r="776">
      <c r="C776" s="37"/>
    </row>
    <row r="777">
      <c r="C777" s="37"/>
    </row>
    <row r="778">
      <c r="C778" s="37"/>
    </row>
    <row r="779">
      <c r="C779" s="37"/>
    </row>
    <row r="780">
      <c r="C780" s="37"/>
    </row>
    <row r="781">
      <c r="C781" s="37"/>
    </row>
    <row r="782">
      <c r="C782" s="37"/>
    </row>
    <row r="783">
      <c r="C783" s="37"/>
    </row>
    <row r="784">
      <c r="C784" s="37"/>
    </row>
    <row r="785">
      <c r="C785" s="37"/>
    </row>
    <row r="786">
      <c r="C786" s="37"/>
    </row>
    <row r="787">
      <c r="C787" s="37"/>
    </row>
    <row r="788">
      <c r="C788" s="37"/>
    </row>
    <row r="789">
      <c r="C789" s="37"/>
    </row>
    <row r="790">
      <c r="C790" s="37"/>
    </row>
    <row r="791">
      <c r="C791" s="37"/>
    </row>
    <row r="792">
      <c r="C792" s="37"/>
    </row>
    <row r="793">
      <c r="C793" s="37"/>
    </row>
    <row r="794">
      <c r="C794" s="37"/>
    </row>
    <row r="795">
      <c r="C795" s="37"/>
    </row>
    <row r="796">
      <c r="C796" s="37"/>
    </row>
    <row r="797">
      <c r="C797" s="37"/>
    </row>
    <row r="798">
      <c r="C798" s="37"/>
    </row>
    <row r="799">
      <c r="C799" s="37"/>
    </row>
    <row r="800">
      <c r="C800" s="37"/>
    </row>
    <row r="801">
      <c r="C801" s="37"/>
    </row>
    <row r="802">
      <c r="C802" s="37"/>
    </row>
    <row r="803">
      <c r="C803" s="37"/>
    </row>
    <row r="804">
      <c r="C804" s="37"/>
    </row>
    <row r="805">
      <c r="C805" s="37"/>
    </row>
    <row r="806">
      <c r="C806" s="37"/>
    </row>
    <row r="807">
      <c r="C807" s="37"/>
    </row>
    <row r="808">
      <c r="C808" s="37"/>
    </row>
    <row r="809">
      <c r="C809" s="37"/>
    </row>
    <row r="810">
      <c r="C810" s="37"/>
    </row>
    <row r="811">
      <c r="C811" s="37"/>
    </row>
    <row r="812">
      <c r="C812" s="37"/>
    </row>
    <row r="813">
      <c r="C813" s="37"/>
    </row>
    <row r="814">
      <c r="C814" s="37"/>
    </row>
    <row r="815">
      <c r="C815" s="37"/>
    </row>
    <row r="816">
      <c r="C816" s="37"/>
    </row>
    <row r="817">
      <c r="C817" s="37"/>
    </row>
    <row r="818">
      <c r="C818" s="37"/>
    </row>
    <row r="819">
      <c r="C819" s="37"/>
    </row>
    <row r="820">
      <c r="C820" s="37"/>
    </row>
    <row r="821">
      <c r="C821" s="37"/>
    </row>
    <row r="822">
      <c r="C822" s="37"/>
    </row>
    <row r="823">
      <c r="C823" s="37"/>
    </row>
    <row r="824">
      <c r="C824" s="37"/>
    </row>
    <row r="825">
      <c r="C825" s="37"/>
    </row>
    <row r="826">
      <c r="C826" s="37"/>
    </row>
    <row r="827">
      <c r="C827" s="37"/>
    </row>
    <row r="828">
      <c r="C828" s="37"/>
    </row>
    <row r="829">
      <c r="C829" s="37"/>
    </row>
    <row r="830">
      <c r="C830" s="37"/>
    </row>
    <row r="831">
      <c r="C831" s="37"/>
    </row>
    <row r="832">
      <c r="C832" s="37"/>
    </row>
    <row r="833">
      <c r="C833" s="37"/>
    </row>
    <row r="834">
      <c r="C834" s="37"/>
    </row>
    <row r="835">
      <c r="C835" s="37"/>
    </row>
    <row r="836">
      <c r="C836" s="37"/>
    </row>
    <row r="837">
      <c r="C837" s="37"/>
    </row>
    <row r="838">
      <c r="C838" s="37"/>
    </row>
    <row r="839">
      <c r="C839" s="37"/>
    </row>
    <row r="840">
      <c r="C840" s="37"/>
    </row>
    <row r="841">
      <c r="C841" s="37"/>
    </row>
    <row r="842">
      <c r="C842" s="37"/>
    </row>
    <row r="843">
      <c r="C843" s="37"/>
    </row>
    <row r="844">
      <c r="C844" s="37"/>
    </row>
    <row r="845">
      <c r="C845" s="37"/>
    </row>
    <row r="846">
      <c r="C846" s="37"/>
    </row>
    <row r="847">
      <c r="C847" s="37"/>
    </row>
    <row r="848">
      <c r="C848" s="37"/>
    </row>
    <row r="849">
      <c r="C849" s="37"/>
    </row>
    <row r="850">
      <c r="C850" s="37"/>
    </row>
    <row r="851">
      <c r="C851" s="37"/>
    </row>
    <row r="852">
      <c r="C852" s="37"/>
    </row>
    <row r="853">
      <c r="C853" s="37"/>
    </row>
    <row r="854">
      <c r="C854" s="37"/>
    </row>
    <row r="855">
      <c r="C855" s="37"/>
    </row>
    <row r="856">
      <c r="C856" s="37"/>
    </row>
    <row r="857">
      <c r="C857" s="37"/>
    </row>
    <row r="858">
      <c r="C858" s="37"/>
    </row>
    <row r="859">
      <c r="C859" s="37"/>
    </row>
    <row r="860">
      <c r="C860" s="37"/>
    </row>
    <row r="861">
      <c r="C861" s="37"/>
    </row>
    <row r="862">
      <c r="C862" s="37"/>
    </row>
    <row r="863">
      <c r="C863" s="37"/>
    </row>
    <row r="864">
      <c r="C864" s="37"/>
    </row>
    <row r="865">
      <c r="C865" s="37"/>
    </row>
    <row r="866">
      <c r="C866" s="37"/>
    </row>
    <row r="867">
      <c r="C867" s="37"/>
    </row>
    <row r="868">
      <c r="C868" s="37"/>
    </row>
    <row r="869">
      <c r="C869" s="37"/>
    </row>
    <row r="870">
      <c r="C870" s="37"/>
    </row>
    <row r="871">
      <c r="C871" s="37"/>
    </row>
    <row r="872">
      <c r="C872" s="37"/>
    </row>
    <row r="873">
      <c r="C873" s="37"/>
    </row>
    <row r="874">
      <c r="C874" s="37"/>
    </row>
    <row r="875">
      <c r="C875" s="37"/>
    </row>
    <row r="876">
      <c r="C876" s="37"/>
    </row>
    <row r="877">
      <c r="C877" s="37"/>
    </row>
    <row r="878">
      <c r="C878" s="37"/>
    </row>
    <row r="879">
      <c r="C879" s="37"/>
    </row>
    <row r="880">
      <c r="C880" s="37"/>
    </row>
    <row r="881">
      <c r="C881" s="37"/>
    </row>
    <row r="882">
      <c r="C882" s="37"/>
    </row>
    <row r="883">
      <c r="C883" s="37"/>
    </row>
    <row r="884">
      <c r="C884" s="37"/>
    </row>
    <row r="885">
      <c r="C885" s="37"/>
    </row>
    <row r="886">
      <c r="C886" s="37"/>
    </row>
    <row r="887">
      <c r="C887" s="37"/>
    </row>
    <row r="888">
      <c r="C888" s="37"/>
    </row>
    <row r="889">
      <c r="C889" s="37"/>
    </row>
    <row r="890">
      <c r="C890" s="37"/>
    </row>
    <row r="891">
      <c r="C891" s="37"/>
    </row>
    <row r="892">
      <c r="C892" s="37"/>
    </row>
    <row r="893">
      <c r="C893" s="37"/>
    </row>
    <row r="894">
      <c r="C894" s="37"/>
    </row>
    <row r="895">
      <c r="C895" s="37"/>
    </row>
    <row r="896">
      <c r="C896" s="37"/>
    </row>
    <row r="897">
      <c r="C897" s="37"/>
    </row>
    <row r="898">
      <c r="C898" s="37"/>
    </row>
    <row r="899">
      <c r="C899" s="37"/>
    </row>
    <row r="900">
      <c r="C900" s="37"/>
    </row>
    <row r="901">
      <c r="C901" s="37"/>
    </row>
    <row r="902">
      <c r="C902" s="37"/>
    </row>
    <row r="903">
      <c r="C903" s="37"/>
    </row>
    <row r="904">
      <c r="C904" s="37"/>
    </row>
    <row r="905">
      <c r="C905" s="37"/>
    </row>
    <row r="906">
      <c r="C906" s="37"/>
    </row>
    <row r="907">
      <c r="C907" s="37"/>
    </row>
    <row r="908">
      <c r="C908" s="37"/>
    </row>
    <row r="909">
      <c r="C909" s="37"/>
    </row>
    <row r="910">
      <c r="C910" s="37"/>
    </row>
    <row r="911">
      <c r="C911" s="37"/>
    </row>
    <row r="912">
      <c r="C912" s="37"/>
    </row>
    <row r="913">
      <c r="C913" s="37"/>
    </row>
    <row r="914">
      <c r="C914" s="37"/>
    </row>
    <row r="915">
      <c r="C915" s="37"/>
    </row>
    <row r="916">
      <c r="C916" s="37"/>
    </row>
    <row r="917">
      <c r="C917" s="37"/>
    </row>
    <row r="918">
      <c r="C918" s="37"/>
    </row>
    <row r="919">
      <c r="C919" s="37"/>
    </row>
    <row r="920">
      <c r="C920" s="37"/>
    </row>
    <row r="921">
      <c r="C921" s="37"/>
    </row>
    <row r="922">
      <c r="C922" s="37"/>
    </row>
    <row r="923">
      <c r="C923" s="37"/>
    </row>
    <row r="924">
      <c r="C924" s="37"/>
    </row>
    <row r="925">
      <c r="C925" s="37"/>
    </row>
    <row r="926">
      <c r="C926" s="37"/>
    </row>
    <row r="927">
      <c r="C927" s="37"/>
    </row>
    <row r="928">
      <c r="C928" s="37"/>
    </row>
    <row r="929">
      <c r="C929" s="37"/>
    </row>
    <row r="930">
      <c r="C930" s="37"/>
    </row>
    <row r="931">
      <c r="C931" s="37"/>
    </row>
    <row r="932">
      <c r="C932" s="37"/>
    </row>
    <row r="933">
      <c r="C933" s="37"/>
    </row>
    <row r="934">
      <c r="C934" s="37"/>
    </row>
    <row r="935">
      <c r="C935" s="37"/>
    </row>
    <row r="936">
      <c r="C936" s="37"/>
    </row>
    <row r="937">
      <c r="C937" s="37"/>
    </row>
    <row r="938">
      <c r="C938" s="37"/>
    </row>
    <row r="939">
      <c r="C939" s="37"/>
    </row>
    <row r="940">
      <c r="C940" s="37"/>
    </row>
    <row r="941">
      <c r="C941" s="37"/>
    </row>
    <row r="942">
      <c r="C942" s="37"/>
    </row>
    <row r="943">
      <c r="C943" s="37"/>
    </row>
    <row r="944">
      <c r="C944" s="37"/>
    </row>
    <row r="945">
      <c r="C945" s="37"/>
    </row>
    <row r="946">
      <c r="C946" s="37"/>
    </row>
    <row r="947">
      <c r="C947" s="37"/>
    </row>
    <row r="948">
      <c r="C948" s="37"/>
    </row>
    <row r="949">
      <c r="C949" s="37"/>
    </row>
    <row r="950">
      <c r="C950" s="37"/>
    </row>
    <row r="951">
      <c r="C951" s="37"/>
    </row>
    <row r="952">
      <c r="C952" s="37"/>
    </row>
    <row r="953">
      <c r="C953" s="37"/>
    </row>
    <row r="954">
      <c r="C954" s="37"/>
    </row>
    <row r="955">
      <c r="C955" s="37"/>
    </row>
    <row r="956">
      <c r="C956" s="37"/>
    </row>
    <row r="957">
      <c r="C957" s="37"/>
    </row>
    <row r="958">
      <c r="C958" s="37"/>
    </row>
    <row r="959">
      <c r="C959" s="37"/>
    </row>
    <row r="960">
      <c r="C960" s="37"/>
    </row>
    <row r="961">
      <c r="C961" s="37"/>
    </row>
    <row r="962">
      <c r="C962" s="37"/>
    </row>
    <row r="963">
      <c r="C963" s="37"/>
    </row>
    <row r="964">
      <c r="C964" s="37"/>
    </row>
    <row r="965">
      <c r="C965" s="37"/>
    </row>
    <row r="966">
      <c r="C966" s="37"/>
    </row>
    <row r="967">
      <c r="C967" s="37"/>
    </row>
    <row r="968">
      <c r="C968" s="37"/>
    </row>
    <row r="969">
      <c r="C969" s="37"/>
    </row>
    <row r="970">
      <c r="C970" s="37"/>
    </row>
    <row r="971">
      <c r="C971" s="37"/>
    </row>
    <row r="972">
      <c r="C972" s="37"/>
    </row>
    <row r="973">
      <c r="C973" s="37"/>
    </row>
    <row r="974">
      <c r="C974" s="37"/>
    </row>
    <row r="975">
      <c r="C975" s="37"/>
    </row>
    <row r="976">
      <c r="C976" s="37"/>
    </row>
    <row r="977">
      <c r="C977" s="37"/>
    </row>
    <row r="978">
      <c r="C978" s="37"/>
    </row>
    <row r="979">
      <c r="C979" s="37"/>
    </row>
    <row r="980">
      <c r="C980" s="37"/>
    </row>
    <row r="981">
      <c r="C981" s="37"/>
    </row>
    <row r="982">
      <c r="C982" s="37"/>
    </row>
    <row r="983">
      <c r="C983" s="37"/>
    </row>
    <row r="984">
      <c r="C984" s="37"/>
    </row>
    <row r="985">
      <c r="C985" s="37"/>
    </row>
    <row r="986">
      <c r="C986" s="37"/>
    </row>
    <row r="987">
      <c r="C987" s="37"/>
    </row>
    <row r="988">
      <c r="C988" s="37"/>
    </row>
    <row r="989">
      <c r="C989" s="37"/>
    </row>
    <row r="990">
      <c r="C990" s="37"/>
    </row>
    <row r="991">
      <c r="C991" s="37"/>
    </row>
    <row r="992">
      <c r="C992" s="37"/>
    </row>
    <row r="993">
      <c r="C993" s="37"/>
    </row>
    <row r="994">
      <c r="C994" s="37"/>
    </row>
    <row r="995">
      <c r="C995" s="37"/>
    </row>
    <row r="996">
      <c r="C996" s="37"/>
    </row>
    <row r="997">
      <c r="C997" s="37"/>
    </row>
    <row r="998">
      <c r="C998" s="37"/>
    </row>
    <row r="999">
      <c r="C999" s="37"/>
    </row>
    <row r="1000">
      <c r="C1000" s="37"/>
    </row>
    <row r="1001">
      <c r="C1001" s="37"/>
    </row>
    <row r="1002">
      <c r="C1002" s="37"/>
    </row>
    <row r="1003">
      <c r="C1003" s="37"/>
    </row>
    <row r="1004">
      <c r="C1004" s="37"/>
    </row>
    <row r="1005">
      <c r="C1005" s="37"/>
    </row>
    <row r="1006">
      <c r="C1006" s="37"/>
    </row>
    <row r="1007">
      <c r="C1007" s="37"/>
    </row>
    <row r="1008">
      <c r="C1008" s="37"/>
    </row>
    <row r="1009">
      <c r="C1009" s="37"/>
    </row>
    <row r="1010">
      <c r="C1010" s="37"/>
    </row>
    <row r="1011">
      <c r="C1011" s="37"/>
    </row>
    <row r="1012">
      <c r="C1012" s="37"/>
    </row>
    <row r="1013">
      <c r="C1013" s="37"/>
    </row>
    <row r="1014">
      <c r="C1014" s="37"/>
    </row>
    <row r="1015">
      <c r="C1015" s="37"/>
    </row>
    <row r="1016">
      <c r="C1016" s="37"/>
    </row>
    <row r="1017">
      <c r="C1017" s="37"/>
    </row>
    <row r="1018">
      <c r="C1018" s="37"/>
    </row>
    <row r="1019">
      <c r="C1019" s="37"/>
    </row>
    <row r="1020">
      <c r="C1020" s="37"/>
    </row>
    <row r="1021">
      <c r="C1021" s="37"/>
    </row>
    <row r="1022">
      <c r="C1022" s="37"/>
    </row>
    <row r="1023">
      <c r="C1023" s="37"/>
    </row>
    <row r="1024">
      <c r="C1024" s="37"/>
    </row>
    <row r="1025">
      <c r="C1025" s="37"/>
    </row>
    <row r="1026">
      <c r="C1026" s="37"/>
    </row>
    <row r="1027">
      <c r="C1027" s="37"/>
    </row>
    <row r="1028">
      <c r="C1028" s="37"/>
    </row>
    <row r="1029">
      <c r="C1029" s="37"/>
    </row>
    <row r="1030">
      <c r="C1030" s="37"/>
    </row>
    <row r="1031">
      <c r="C1031" s="37"/>
    </row>
    <row r="1032">
      <c r="C1032" s="37"/>
    </row>
    <row r="1033">
      <c r="C1033" s="37"/>
    </row>
    <row r="1034">
      <c r="C1034" s="37"/>
    </row>
    <row r="1035">
      <c r="C1035" s="37"/>
    </row>
    <row r="1036">
      <c r="C1036" s="37"/>
    </row>
    <row r="1037">
      <c r="C1037" s="37"/>
    </row>
    <row r="1038">
      <c r="C1038" s="37"/>
    </row>
    <row r="1039">
      <c r="C1039" s="37"/>
    </row>
    <row r="1040">
      <c r="C1040" s="37"/>
    </row>
    <row r="1041">
      <c r="C1041" s="37"/>
    </row>
    <row r="1042">
      <c r="C1042" s="3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7.13"/>
    <col customWidth="1" min="3" max="3" width="23.63"/>
    <col customWidth="1" min="4" max="5" width="24.13"/>
    <col customWidth="1" min="7" max="7" width="36.25"/>
  </cols>
  <sheetData>
    <row r="1">
      <c r="A1" s="1" t="s">
        <v>0</v>
      </c>
      <c r="B1" s="1" t="s">
        <v>47</v>
      </c>
      <c r="C1" s="1" t="s">
        <v>1</v>
      </c>
      <c r="D1" s="2" t="s">
        <v>2</v>
      </c>
      <c r="E1" s="2" t="s">
        <v>3</v>
      </c>
      <c r="F1" s="38"/>
      <c r="G1" s="38"/>
      <c r="H1" s="38"/>
      <c r="I1" s="38"/>
    </row>
    <row r="2">
      <c r="A2" s="40" t="s">
        <v>248</v>
      </c>
      <c r="B2" s="46" t="s">
        <v>142</v>
      </c>
      <c r="C2" s="41">
        <v>2000.0</v>
      </c>
      <c r="D2" s="42">
        <v>46083.0</v>
      </c>
      <c r="E2" s="4" t="s">
        <v>151</v>
      </c>
      <c r="F2" s="38"/>
      <c r="G2" s="38"/>
      <c r="H2" s="38"/>
      <c r="I2" s="38"/>
    </row>
    <row r="3">
      <c r="A3" s="59" t="s">
        <v>165</v>
      </c>
      <c r="B3" s="43" t="s">
        <v>97</v>
      </c>
      <c r="C3" s="44">
        <v>23182.0</v>
      </c>
      <c r="D3" s="42">
        <v>46083.0</v>
      </c>
      <c r="E3" s="4" t="s">
        <v>166</v>
      </c>
      <c r="F3" s="38"/>
      <c r="G3" s="38"/>
      <c r="H3" s="15"/>
      <c r="I3" s="38"/>
    </row>
    <row r="4">
      <c r="A4" s="43" t="s">
        <v>141</v>
      </c>
      <c r="B4" s="46" t="s">
        <v>142</v>
      </c>
      <c r="C4" s="44">
        <v>1500.0</v>
      </c>
      <c r="D4" s="42">
        <v>46083.0</v>
      </c>
      <c r="E4" s="4" t="s">
        <v>143</v>
      </c>
      <c r="F4" s="38"/>
      <c r="G4" s="38"/>
      <c r="H4" s="38"/>
      <c r="I4" s="38"/>
    </row>
    <row r="5">
      <c r="A5" s="46" t="s">
        <v>186</v>
      </c>
      <c r="B5" s="46" t="s">
        <v>187</v>
      </c>
      <c r="C5" s="44">
        <v>50000.0</v>
      </c>
      <c r="D5" s="42">
        <v>46083.0</v>
      </c>
      <c r="E5" s="4" t="s">
        <v>201</v>
      </c>
      <c r="F5" s="38"/>
      <c r="G5" s="33"/>
      <c r="H5" s="64">
        <v>1691802.6</v>
      </c>
    </row>
    <row r="6">
      <c r="A6" s="46" t="s">
        <v>249</v>
      </c>
      <c r="B6" s="46" t="s">
        <v>250</v>
      </c>
      <c r="C6" s="44">
        <v>1490.0</v>
      </c>
      <c r="D6" s="42">
        <v>46084.0</v>
      </c>
      <c r="E6" s="4" t="s">
        <v>201</v>
      </c>
      <c r="F6" s="38"/>
      <c r="G6" s="15"/>
      <c r="H6" s="50">
        <v>-0.06</v>
      </c>
      <c r="I6" s="38"/>
    </row>
    <row r="7">
      <c r="A7" s="43" t="s">
        <v>141</v>
      </c>
      <c r="B7" s="46" t="s">
        <v>142</v>
      </c>
      <c r="C7" s="44">
        <v>1500.0</v>
      </c>
      <c r="D7" s="42">
        <v>46084.0</v>
      </c>
      <c r="E7" s="4" t="s">
        <v>143</v>
      </c>
      <c r="F7" s="38"/>
      <c r="G7" s="15"/>
      <c r="H7" s="51">
        <v>1590294.44</v>
      </c>
      <c r="I7" s="38"/>
    </row>
    <row r="8">
      <c r="A8" s="46" t="s">
        <v>251</v>
      </c>
      <c r="B8" s="46" t="s">
        <v>142</v>
      </c>
      <c r="C8" s="44">
        <v>700.0</v>
      </c>
      <c r="D8" s="42">
        <v>46084.0</v>
      </c>
      <c r="E8" s="4" t="s">
        <v>151</v>
      </c>
      <c r="F8" s="38"/>
      <c r="G8" s="38"/>
      <c r="H8" s="51"/>
      <c r="I8" s="38"/>
    </row>
    <row r="9">
      <c r="A9" s="46" t="s">
        <v>252</v>
      </c>
      <c r="B9" s="46" t="s">
        <v>253</v>
      </c>
      <c r="C9" s="75">
        <v>7000.0</v>
      </c>
      <c r="D9" s="42">
        <v>46085.0</v>
      </c>
      <c r="E9" s="4" t="s">
        <v>151</v>
      </c>
      <c r="F9" s="38"/>
      <c r="G9" s="38"/>
      <c r="H9" s="15"/>
      <c r="I9" s="38"/>
    </row>
    <row r="10">
      <c r="A10" s="52" t="s">
        <v>94</v>
      </c>
      <c r="B10" s="46" t="s">
        <v>254</v>
      </c>
      <c r="C10" s="75">
        <v>35111.0</v>
      </c>
      <c r="D10" s="42">
        <v>46085.0</v>
      </c>
      <c r="E10" s="4" t="s">
        <v>151</v>
      </c>
      <c r="F10" s="38"/>
      <c r="G10" s="38"/>
      <c r="H10" s="15"/>
      <c r="I10" s="38"/>
    </row>
    <row r="11">
      <c r="A11" s="52" t="s">
        <v>94</v>
      </c>
      <c r="B11" s="46" t="s">
        <v>255</v>
      </c>
      <c r="C11" s="75">
        <v>37425.0</v>
      </c>
      <c r="D11" s="42">
        <v>46085.0</v>
      </c>
      <c r="E11" s="4" t="s">
        <v>151</v>
      </c>
      <c r="F11" s="38"/>
      <c r="G11" s="38"/>
      <c r="H11" s="38"/>
      <c r="I11" s="38"/>
    </row>
    <row r="12">
      <c r="A12" s="52" t="s">
        <v>94</v>
      </c>
      <c r="B12" s="46" t="s">
        <v>256</v>
      </c>
      <c r="C12" s="44">
        <v>6857.0</v>
      </c>
      <c r="D12" s="81">
        <v>46087.0</v>
      </c>
      <c r="E12" s="4" t="s">
        <v>120</v>
      </c>
      <c r="F12" s="38"/>
      <c r="G12" s="38"/>
      <c r="H12" s="38"/>
      <c r="I12" s="38"/>
    </row>
    <row r="13">
      <c r="A13" s="52" t="s">
        <v>94</v>
      </c>
      <c r="B13" s="46" t="s">
        <v>257</v>
      </c>
      <c r="C13" s="44">
        <v>9394.2</v>
      </c>
      <c r="D13" s="81">
        <v>46087.0</v>
      </c>
      <c r="E13" s="4" t="s">
        <v>120</v>
      </c>
      <c r="F13" s="38"/>
      <c r="G13" s="57">
        <f>C23+C27+C28+C29+C31+C34+C36+C39+C41+C42+C47</f>
        <v>625724.1</v>
      </c>
      <c r="H13" s="15" t="s">
        <v>19</v>
      </c>
      <c r="I13" s="38"/>
    </row>
    <row r="14">
      <c r="A14" s="43" t="s">
        <v>141</v>
      </c>
      <c r="B14" s="46" t="s">
        <v>142</v>
      </c>
      <c r="C14" s="44">
        <v>1500.0</v>
      </c>
      <c r="D14" s="42">
        <v>46087.0</v>
      </c>
      <c r="E14" s="4" t="s">
        <v>143</v>
      </c>
      <c r="F14" s="38"/>
      <c r="G14" s="57">
        <f>C2+C4+C5+C6+C7+C8+C9+C14+C15+C16+C19+C20+C24+C25+C32+C35+C40+C45+C46</f>
        <v>235459.49</v>
      </c>
      <c r="H14" s="21" t="s">
        <v>23</v>
      </c>
      <c r="I14" s="38"/>
    </row>
    <row r="15">
      <c r="A15" s="46" t="s">
        <v>258</v>
      </c>
      <c r="B15" s="46" t="s">
        <v>142</v>
      </c>
      <c r="C15" s="44">
        <v>3000.0</v>
      </c>
      <c r="D15" s="82">
        <v>46088.0</v>
      </c>
      <c r="E15" s="4" t="s">
        <v>151</v>
      </c>
      <c r="F15" s="38"/>
      <c r="G15" s="57">
        <f>C3+C17+C21+C22+C26+C30+C37+C38+C43+C44</f>
        <v>280380</v>
      </c>
      <c r="H15" s="15" t="s">
        <v>21</v>
      </c>
      <c r="I15" s="38"/>
    </row>
    <row r="16">
      <c r="A16" s="46" t="s">
        <v>259</v>
      </c>
      <c r="B16" s="83" t="s">
        <v>260</v>
      </c>
      <c r="C16" s="44">
        <v>17413.0</v>
      </c>
      <c r="D16" s="82">
        <v>46090.0</v>
      </c>
      <c r="E16" s="4" t="s">
        <v>261</v>
      </c>
      <c r="F16" s="38"/>
      <c r="G16" s="57">
        <f>C48+C49</f>
        <v>34036.21</v>
      </c>
      <c r="H16" s="15" t="s">
        <v>25</v>
      </c>
      <c r="I16" s="38"/>
    </row>
    <row r="17">
      <c r="A17" s="59" t="s">
        <v>98</v>
      </c>
      <c r="B17" s="46" t="s">
        <v>97</v>
      </c>
      <c r="C17" s="44">
        <v>17030.0</v>
      </c>
      <c r="D17" s="82">
        <v>46091.0</v>
      </c>
      <c r="E17" s="4" t="s">
        <v>201</v>
      </c>
      <c r="F17" s="38"/>
      <c r="G17" s="57">
        <f>C10+C11+C12+C13+C18+C33+C50</f>
        <v>199059.36</v>
      </c>
      <c r="H17" s="15" t="s">
        <v>28</v>
      </c>
      <c r="I17" s="38"/>
    </row>
    <row r="18">
      <c r="A18" s="85" t="s">
        <v>262</v>
      </c>
      <c r="B18" s="83" t="s">
        <v>263</v>
      </c>
      <c r="C18" s="44">
        <v>4382.0</v>
      </c>
      <c r="D18" s="82">
        <v>46091.0</v>
      </c>
      <c r="E18" s="4" t="s">
        <v>201</v>
      </c>
      <c r="F18" s="38"/>
      <c r="G18" s="38"/>
      <c r="H18" s="15" t="s">
        <v>157</v>
      </c>
      <c r="I18" s="38"/>
    </row>
    <row r="19">
      <c r="A19" s="43" t="s">
        <v>141</v>
      </c>
      <c r="B19" s="46" t="s">
        <v>142</v>
      </c>
      <c r="C19" s="44">
        <v>1500.0</v>
      </c>
      <c r="D19" s="42">
        <v>46092.0</v>
      </c>
      <c r="E19" s="4" t="s">
        <v>143</v>
      </c>
      <c r="F19" s="38"/>
      <c r="G19" s="38"/>
      <c r="H19" s="15" t="s">
        <v>159</v>
      </c>
      <c r="I19" s="38"/>
    </row>
    <row r="20">
      <c r="A20" s="43" t="s">
        <v>264</v>
      </c>
      <c r="B20" s="83" t="s">
        <v>265</v>
      </c>
      <c r="C20" s="44">
        <v>526.49</v>
      </c>
      <c r="D20" s="42">
        <v>46092.0</v>
      </c>
      <c r="E20" s="4" t="s">
        <v>201</v>
      </c>
      <c r="F20" s="38"/>
      <c r="G20" s="57">
        <f>SUM(G13:G18)</f>
        <v>1374659.16</v>
      </c>
      <c r="H20" s="15" t="s">
        <v>161</v>
      </c>
      <c r="I20" s="38"/>
    </row>
    <row r="21">
      <c r="A21" s="55" t="s">
        <v>266</v>
      </c>
      <c r="B21" s="46" t="s">
        <v>97</v>
      </c>
      <c r="C21" s="44">
        <v>15748.0</v>
      </c>
      <c r="D21" s="42">
        <v>46092.0</v>
      </c>
      <c r="E21" s="4" t="s">
        <v>267</v>
      </c>
      <c r="F21" s="38"/>
      <c r="G21" s="38"/>
      <c r="H21" s="38"/>
      <c r="I21" s="38"/>
    </row>
    <row r="22">
      <c r="A22" s="55" t="s">
        <v>108</v>
      </c>
      <c r="B22" s="43" t="s">
        <v>97</v>
      </c>
      <c r="C22" s="44">
        <v>63830.0</v>
      </c>
      <c r="D22" s="81">
        <v>46093.0</v>
      </c>
      <c r="E22" s="4" t="s">
        <v>201</v>
      </c>
      <c r="F22" s="38"/>
      <c r="G22" s="38"/>
      <c r="H22" s="38"/>
      <c r="I22" s="38"/>
    </row>
    <row r="23">
      <c r="A23" s="48" t="s">
        <v>91</v>
      </c>
      <c r="B23" s="46" t="s">
        <v>268</v>
      </c>
      <c r="C23" s="44">
        <v>29256.0</v>
      </c>
      <c r="D23" s="81">
        <v>46093.0</v>
      </c>
      <c r="E23" s="4" t="s">
        <v>269</v>
      </c>
      <c r="F23" s="38"/>
      <c r="G23" s="38"/>
      <c r="H23" s="38"/>
      <c r="I23" s="38"/>
    </row>
    <row r="24">
      <c r="A24" s="43" t="s">
        <v>270</v>
      </c>
      <c r="B24" s="46" t="s">
        <v>271</v>
      </c>
      <c r="C24" s="44">
        <v>6000.0</v>
      </c>
      <c r="D24" s="81">
        <v>46094.0</v>
      </c>
      <c r="E24" s="4" t="s">
        <v>201</v>
      </c>
      <c r="F24" s="38"/>
      <c r="G24" s="38"/>
      <c r="H24" s="38"/>
      <c r="I24" s="38"/>
    </row>
    <row r="25">
      <c r="A25" s="43" t="s">
        <v>141</v>
      </c>
      <c r="B25" s="46" t="s">
        <v>142</v>
      </c>
      <c r="C25" s="44">
        <v>1500.0</v>
      </c>
      <c r="D25" s="42">
        <v>46095.0</v>
      </c>
      <c r="E25" s="4" t="s">
        <v>143</v>
      </c>
      <c r="F25" s="38"/>
      <c r="G25" s="38"/>
      <c r="H25" s="38"/>
      <c r="I25" s="38"/>
    </row>
    <row r="26">
      <c r="A26" s="59" t="s">
        <v>219</v>
      </c>
      <c r="B26" s="83" t="s">
        <v>97</v>
      </c>
      <c r="C26" s="75">
        <v>27350.0</v>
      </c>
      <c r="D26" s="42">
        <v>46097.0</v>
      </c>
      <c r="E26" s="4" t="s">
        <v>201</v>
      </c>
      <c r="F26" s="38"/>
      <c r="G26" s="60"/>
      <c r="H26" s="60"/>
      <c r="I26" s="38"/>
    </row>
    <row r="27">
      <c r="A27" s="86" t="s">
        <v>77</v>
      </c>
      <c r="B27" s="46" t="s">
        <v>272</v>
      </c>
      <c r="C27" s="75">
        <v>23184.0</v>
      </c>
      <c r="D27" s="42">
        <v>46100.0</v>
      </c>
      <c r="E27" s="4" t="s">
        <v>201</v>
      </c>
      <c r="F27" s="38"/>
      <c r="G27" s="60"/>
      <c r="H27" s="61"/>
      <c r="I27" s="38"/>
    </row>
    <row r="28">
      <c r="A28" s="87" t="s">
        <v>175</v>
      </c>
      <c r="B28" s="88" t="s">
        <v>273</v>
      </c>
      <c r="C28" s="75">
        <v>27539.0</v>
      </c>
      <c r="D28" s="42">
        <v>46100.0</v>
      </c>
      <c r="E28" s="4" t="s">
        <v>201</v>
      </c>
      <c r="F28" s="38"/>
      <c r="G28" s="60"/>
      <c r="H28" s="60"/>
      <c r="I28" s="38"/>
    </row>
    <row r="29">
      <c r="A29" s="87" t="s">
        <v>213</v>
      </c>
      <c r="B29" s="88" t="s">
        <v>274</v>
      </c>
      <c r="C29" s="75">
        <v>19872.0</v>
      </c>
      <c r="D29" s="42">
        <v>46100.0</v>
      </c>
      <c r="E29" s="4" t="s">
        <v>201</v>
      </c>
      <c r="F29" s="38"/>
      <c r="G29" s="60"/>
      <c r="H29" s="60"/>
      <c r="I29" s="38"/>
    </row>
    <row r="30">
      <c r="A30" s="59" t="s">
        <v>117</v>
      </c>
      <c r="B30" s="46" t="s">
        <v>97</v>
      </c>
      <c r="C30" s="75">
        <v>31915.0</v>
      </c>
      <c r="D30" s="42">
        <v>46100.0</v>
      </c>
      <c r="E30" s="4" t="s">
        <v>201</v>
      </c>
      <c r="F30" s="38"/>
      <c r="G30" s="60"/>
      <c r="H30" s="60"/>
      <c r="I30" s="38"/>
    </row>
    <row r="31">
      <c r="A31" s="54" t="s">
        <v>109</v>
      </c>
      <c r="B31" s="46" t="s">
        <v>275</v>
      </c>
      <c r="C31" s="75">
        <v>35630.0</v>
      </c>
      <c r="D31" s="84">
        <v>46104.0</v>
      </c>
      <c r="E31" s="4" t="s">
        <v>201</v>
      </c>
      <c r="F31" s="38"/>
      <c r="G31" s="60"/>
      <c r="H31" s="60"/>
      <c r="I31" s="38"/>
    </row>
    <row r="32">
      <c r="A32" s="46" t="s">
        <v>276</v>
      </c>
      <c r="B32" s="46" t="s">
        <v>277</v>
      </c>
      <c r="C32" s="75">
        <v>2618.0</v>
      </c>
      <c r="D32" s="84">
        <v>46105.0</v>
      </c>
      <c r="E32" s="4" t="s">
        <v>201</v>
      </c>
      <c r="F32" s="38"/>
      <c r="G32" s="60"/>
      <c r="H32" s="60"/>
      <c r="I32" s="38"/>
    </row>
    <row r="33">
      <c r="A33" s="85" t="s">
        <v>262</v>
      </c>
      <c r="B33" s="83" t="s">
        <v>263</v>
      </c>
      <c r="C33" s="44">
        <v>4382.0</v>
      </c>
      <c r="D33" s="84">
        <v>46105.0</v>
      </c>
      <c r="E33" s="4" t="s">
        <v>201</v>
      </c>
      <c r="F33" s="38"/>
      <c r="G33" s="60"/>
      <c r="H33" s="60"/>
      <c r="I33" s="38"/>
    </row>
    <row r="34">
      <c r="A34" s="54" t="s">
        <v>278</v>
      </c>
      <c r="B34" s="46" t="s">
        <v>279</v>
      </c>
      <c r="C34" s="75">
        <v>72277.0</v>
      </c>
      <c r="D34" s="84">
        <v>46105.0</v>
      </c>
      <c r="E34" s="89" t="s">
        <v>280</v>
      </c>
      <c r="F34" s="38"/>
      <c r="G34" s="60"/>
      <c r="H34" s="60"/>
      <c r="I34" s="38"/>
    </row>
    <row r="35">
      <c r="A35" s="43" t="s">
        <v>141</v>
      </c>
      <c r="B35" s="46" t="s">
        <v>142</v>
      </c>
      <c r="C35" s="44">
        <v>1500.0</v>
      </c>
      <c r="D35" s="84">
        <v>46105.0</v>
      </c>
      <c r="E35" s="4" t="s">
        <v>143</v>
      </c>
      <c r="F35" s="38"/>
      <c r="G35" s="60"/>
      <c r="H35" s="60"/>
      <c r="I35" s="38"/>
    </row>
    <row r="36">
      <c r="A36" s="54" t="s">
        <v>281</v>
      </c>
      <c r="B36" s="46" t="s">
        <v>282</v>
      </c>
      <c r="C36" s="75">
        <v>20000.0</v>
      </c>
      <c r="D36" s="84">
        <v>46105.0</v>
      </c>
      <c r="E36" s="4" t="s">
        <v>201</v>
      </c>
      <c r="F36" s="38"/>
      <c r="G36" s="60"/>
      <c r="H36" s="60"/>
      <c r="I36" s="38"/>
    </row>
    <row r="37">
      <c r="A37" s="59" t="s">
        <v>114</v>
      </c>
      <c r="B37" s="46" t="s">
        <v>97</v>
      </c>
      <c r="C37" s="75">
        <v>29325.0</v>
      </c>
      <c r="D37" s="84">
        <v>46105.0</v>
      </c>
      <c r="E37" s="4" t="s">
        <v>201</v>
      </c>
      <c r="F37" s="38"/>
      <c r="G37" s="60"/>
      <c r="H37" s="60"/>
      <c r="I37" s="38"/>
    </row>
    <row r="38">
      <c r="A38" s="59" t="s">
        <v>111</v>
      </c>
      <c r="B38" s="46" t="s">
        <v>97</v>
      </c>
      <c r="C38" s="75">
        <v>12000.0</v>
      </c>
      <c r="D38" s="84">
        <v>46106.0</v>
      </c>
      <c r="E38" s="4" t="s">
        <v>201</v>
      </c>
      <c r="F38" s="38"/>
      <c r="G38" s="60"/>
      <c r="H38" s="60"/>
      <c r="I38" s="38"/>
    </row>
    <row r="39">
      <c r="A39" s="48" t="s">
        <v>122</v>
      </c>
      <c r="B39" s="43" t="s">
        <v>283</v>
      </c>
      <c r="C39" s="44">
        <v>22080.0</v>
      </c>
      <c r="D39" s="84">
        <v>46107.0</v>
      </c>
      <c r="E39" s="4" t="s">
        <v>201</v>
      </c>
      <c r="F39" s="38"/>
      <c r="G39" s="60"/>
      <c r="H39" s="60"/>
      <c r="I39" s="38"/>
    </row>
    <row r="40">
      <c r="A40" s="46" t="s">
        <v>259</v>
      </c>
      <c r="B40" s="83" t="s">
        <v>284</v>
      </c>
      <c r="C40" s="44">
        <v>19712.0</v>
      </c>
      <c r="D40" s="84">
        <v>46108.0</v>
      </c>
      <c r="E40" s="4" t="s">
        <v>285</v>
      </c>
      <c r="F40" s="38"/>
      <c r="G40" s="60"/>
      <c r="H40" s="60"/>
      <c r="I40" s="38"/>
    </row>
    <row r="41">
      <c r="A41" s="54" t="s">
        <v>286</v>
      </c>
      <c r="B41" s="46" t="s">
        <v>287</v>
      </c>
      <c r="C41" s="62">
        <v>24000.0</v>
      </c>
      <c r="D41" s="84">
        <v>46108.0</v>
      </c>
      <c r="E41" s="4" t="s">
        <v>201</v>
      </c>
      <c r="F41" s="38"/>
      <c r="G41" s="60"/>
      <c r="H41" s="60"/>
      <c r="I41" s="38"/>
    </row>
    <row r="42">
      <c r="A42" s="54" t="s">
        <v>112</v>
      </c>
      <c r="B42" s="46" t="s">
        <v>288</v>
      </c>
      <c r="C42" s="62">
        <v>20000.0</v>
      </c>
      <c r="D42" s="84">
        <v>46108.0</v>
      </c>
      <c r="E42" s="4" t="s">
        <v>201</v>
      </c>
      <c r="F42" s="38"/>
      <c r="G42" s="60"/>
      <c r="H42" s="60"/>
      <c r="I42" s="38"/>
    </row>
    <row r="43">
      <c r="A43" s="59" t="s">
        <v>98</v>
      </c>
      <c r="B43" s="46" t="s">
        <v>289</v>
      </c>
      <c r="C43" s="62">
        <v>10000.0</v>
      </c>
      <c r="D43" s="84">
        <v>46112.0</v>
      </c>
      <c r="E43" s="4" t="s">
        <v>143</v>
      </c>
      <c r="F43" s="38"/>
      <c r="G43" s="60"/>
      <c r="H43" s="60"/>
      <c r="I43" s="38"/>
    </row>
    <row r="44">
      <c r="A44" s="59" t="s">
        <v>111</v>
      </c>
      <c r="B44" s="46" t="s">
        <v>290</v>
      </c>
      <c r="C44" s="62">
        <v>50000.0</v>
      </c>
      <c r="D44" s="84">
        <v>46112.0</v>
      </c>
      <c r="E44" s="4" t="s">
        <v>221</v>
      </c>
      <c r="F44" s="38"/>
      <c r="G44" s="60"/>
      <c r="H44" s="60"/>
      <c r="I44" s="38"/>
    </row>
    <row r="45">
      <c r="A45" s="46" t="s">
        <v>186</v>
      </c>
      <c r="B45" s="46" t="s">
        <v>187</v>
      </c>
      <c r="C45" s="44">
        <v>50000.0</v>
      </c>
      <c r="D45" s="42">
        <v>46112.0</v>
      </c>
      <c r="E45" s="4" t="s">
        <v>201</v>
      </c>
      <c r="F45" s="38"/>
      <c r="G45" s="60"/>
      <c r="H45" s="60"/>
      <c r="I45" s="38"/>
    </row>
    <row r="46">
      <c r="A46" s="46" t="s">
        <v>188</v>
      </c>
      <c r="B46" s="46" t="s">
        <v>189</v>
      </c>
      <c r="C46" s="62">
        <v>66000.0</v>
      </c>
      <c r="D46" s="84">
        <v>46112.0</v>
      </c>
      <c r="E46" s="4" t="s">
        <v>172</v>
      </c>
      <c r="F46" s="38"/>
      <c r="G46" s="60"/>
      <c r="H46" s="60"/>
      <c r="I46" s="38"/>
    </row>
    <row r="47">
      <c r="A47" s="54" t="s">
        <v>129</v>
      </c>
      <c r="B47" s="76"/>
      <c r="C47" s="62">
        <v>331886.1</v>
      </c>
      <c r="D47" s="84">
        <v>46112.0</v>
      </c>
      <c r="E47" s="4" t="s">
        <v>172</v>
      </c>
      <c r="F47" s="38"/>
      <c r="G47" s="90" t="s">
        <v>291</v>
      </c>
      <c r="H47" s="60"/>
      <c r="I47" s="38"/>
    </row>
    <row r="48">
      <c r="A48" s="63" t="s">
        <v>292</v>
      </c>
      <c r="B48" s="46" t="s">
        <v>293</v>
      </c>
      <c r="C48" s="62">
        <v>9402.22</v>
      </c>
      <c r="D48" s="84">
        <v>46112.0</v>
      </c>
      <c r="E48" s="4" t="s">
        <v>172</v>
      </c>
      <c r="F48" s="38"/>
      <c r="G48" s="38"/>
      <c r="H48" s="38"/>
      <c r="I48" s="38"/>
    </row>
    <row r="49">
      <c r="A49" s="63" t="s">
        <v>195</v>
      </c>
      <c r="B49" s="46" t="s">
        <v>293</v>
      </c>
      <c r="C49" s="62">
        <v>24633.99</v>
      </c>
      <c r="D49" s="84">
        <v>46112.0</v>
      </c>
      <c r="E49" s="4" t="s">
        <v>172</v>
      </c>
      <c r="F49" s="38"/>
      <c r="G49" s="38"/>
      <c r="H49" s="38"/>
      <c r="I49" s="38"/>
    </row>
    <row r="50">
      <c r="A50" s="52" t="s">
        <v>43</v>
      </c>
      <c r="B50" s="46" t="s">
        <v>293</v>
      </c>
      <c r="C50" s="62">
        <v>101508.16</v>
      </c>
      <c r="D50" s="84">
        <v>46112.0</v>
      </c>
      <c r="E50" s="4" t="s">
        <v>172</v>
      </c>
      <c r="F50" s="38"/>
      <c r="G50" s="38"/>
      <c r="H50" s="38"/>
      <c r="I50" s="38"/>
    </row>
    <row r="51">
      <c r="A51" s="43" t="s">
        <v>46</v>
      </c>
      <c r="B51" s="43"/>
      <c r="C51" s="44">
        <f>SUM(C2:C50)</f>
        <v>1374659.16</v>
      </c>
      <c r="D51" s="4"/>
      <c r="E51" s="4"/>
      <c r="F51" s="38"/>
      <c r="G51" s="38"/>
      <c r="H51" s="38"/>
      <c r="I51" s="38"/>
    </row>
    <row r="52">
      <c r="A52" s="31"/>
      <c r="B52" s="31"/>
      <c r="C52" s="32"/>
    </row>
    <row r="53">
      <c r="A53" s="69"/>
      <c r="B53" s="35" t="s">
        <v>134</v>
      </c>
      <c r="C53" s="32"/>
    </row>
    <row r="54">
      <c r="A54" s="31"/>
      <c r="B54" s="31"/>
      <c r="C54" s="32"/>
    </row>
    <row r="55">
      <c r="A55" s="70"/>
      <c r="B55" s="35" t="s">
        <v>135</v>
      </c>
      <c r="C55" s="32"/>
      <c r="G55" s="33"/>
      <c r="H55" s="34"/>
    </row>
    <row r="56">
      <c r="A56" s="35"/>
      <c r="B56" s="35"/>
      <c r="C56" s="32"/>
    </row>
    <row r="57">
      <c r="A57" s="71"/>
      <c r="B57" s="35" t="s">
        <v>136</v>
      </c>
      <c r="C57" s="36"/>
    </row>
    <row r="58">
      <c r="A58" s="35"/>
      <c r="B58" s="35"/>
      <c r="C58" s="36"/>
    </row>
    <row r="59">
      <c r="A59" s="72"/>
      <c r="B59" s="35" t="s">
        <v>137</v>
      </c>
      <c r="C59" s="36"/>
    </row>
    <row r="60">
      <c r="C60" s="37"/>
    </row>
    <row r="61">
      <c r="A61" s="77"/>
      <c r="B61" s="15" t="s">
        <v>196</v>
      </c>
      <c r="C61" s="37"/>
    </row>
    <row r="62">
      <c r="C62" s="37"/>
    </row>
    <row r="63">
      <c r="C63" s="37"/>
    </row>
    <row r="64">
      <c r="C64" s="37"/>
    </row>
    <row r="65">
      <c r="C65" s="37"/>
    </row>
    <row r="66">
      <c r="C66" s="37"/>
    </row>
    <row r="67">
      <c r="C67" s="37"/>
    </row>
    <row r="68">
      <c r="C68" s="37"/>
    </row>
    <row r="69">
      <c r="C69" s="37"/>
    </row>
    <row r="70">
      <c r="C70" s="37"/>
    </row>
    <row r="71">
      <c r="C71" s="37"/>
    </row>
    <row r="72">
      <c r="C72" s="37"/>
    </row>
    <row r="73">
      <c r="C73" s="37"/>
    </row>
    <row r="74">
      <c r="C74" s="37"/>
    </row>
    <row r="75">
      <c r="C75" s="37"/>
    </row>
    <row r="76">
      <c r="C76" s="37"/>
    </row>
    <row r="77">
      <c r="C77" s="37"/>
    </row>
    <row r="78">
      <c r="C78" s="37"/>
    </row>
    <row r="79">
      <c r="C79" s="37"/>
    </row>
    <row r="80">
      <c r="C80" s="37"/>
    </row>
    <row r="81">
      <c r="C81" s="37"/>
    </row>
    <row r="82">
      <c r="C82" s="37"/>
    </row>
    <row r="83">
      <c r="C83" s="37"/>
    </row>
    <row r="84">
      <c r="C84" s="37"/>
    </row>
    <row r="85">
      <c r="C85" s="37"/>
    </row>
    <row r="86">
      <c r="C86" s="37"/>
    </row>
    <row r="87">
      <c r="C87" s="37"/>
    </row>
    <row r="88">
      <c r="C88" s="37"/>
    </row>
    <row r="89">
      <c r="C89" s="37"/>
    </row>
    <row r="90">
      <c r="C90" s="37"/>
    </row>
    <row r="91">
      <c r="C91" s="37"/>
    </row>
    <row r="92">
      <c r="C92" s="37"/>
    </row>
    <row r="93">
      <c r="C93" s="37"/>
    </row>
    <row r="94">
      <c r="C94" s="37"/>
    </row>
    <row r="95">
      <c r="C95" s="37"/>
    </row>
    <row r="96">
      <c r="C96" s="37"/>
    </row>
    <row r="97">
      <c r="C97" s="37"/>
    </row>
    <row r="98">
      <c r="C98" s="37"/>
    </row>
    <row r="99">
      <c r="C99" s="37"/>
    </row>
    <row r="100">
      <c r="C100" s="37"/>
    </row>
    <row r="101">
      <c r="C101" s="37"/>
    </row>
    <row r="102">
      <c r="C102" s="37"/>
    </row>
    <row r="103">
      <c r="C103" s="37"/>
    </row>
    <row r="104">
      <c r="C104" s="37"/>
    </row>
    <row r="105">
      <c r="C105" s="37"/>
    </row>
    <row r="106">
      <c r="C106" s="37"/>
    </row>
    <row r="107">
      <c r="C107" s="37"/>
    </row>
    <row r="108">
      <c r="C108" s="37"/>
    </row>
    <row r="109">
      <c r="C109" s="37"/>
    </row>
    <row r="110">
      <c r="C110" s="37"/>
    </row>
    <row r="111">
      <c r="C111" s="37"/>
    </row>
    <row r="112">
      <c r="C112" s="37"/>
    </row>
    <row r="113">
      <c r="C113" s="37"/>
    </row>
    <row r="114">
      <c r="C114" s="37"/>
    </row>
    <row r="115">
      <c r="C115" s="37"/>
    </row>
    <row r="116">
      <c r="C116" s="37"/>
    </row>
    <row r="117">
      <c r="C117" s="37"/>
    </row>
    <row r="118">
      <c r="C118" s="37"/>
    </row>
    <row r="119">
      <c r="C119" s="37"/>
    </row>
    <row r="120">
      <c r="C120" s="37"/>
    </row>
    <row r="121">
      <c r="C121" s="37"/>
    </row>
    <row r="122">
      <c r="C122" s="37"/>
    </row>
    <row r="123">
      <c r="C123" s="37"/>
    </row>
    <row r="124">
      <c r="C124" s="37"/>
    </row>
    <row r="125">
      <c r="C125" s="37"/>
    </row>
    <row r="126">
      <c r="C126" s="37"/>
    </row>
    <row r="127">
      <c r="C127" s="37"/>
    </row>
    <row r="128">
      <c r="C128" s="37"/>
    </row>
    <row r="129">
      <c r="C129" s="37"/>
    </row>
    <row r="130">
      <c r="C130" s="37"/>
    </row>
    <row r="131">
      <c r="C131" s="37"/>
    </row>
    <row r="132">
      <c r="C132" s="37"/>
    </row>
    <row r="133">
      <c r="C133" s="37"/>
    </row>
    <row r="134">
      <c r="C134" s="37"/>
    </row>
    <row r="135">
      <c r="C135" s="37"/>
    </row>
    <row r="136">
      <c r="C136" s="37"/>
    </row>
    <row r="137">
      <c r="C137" s="37"/>
    </row>
    <row r="138">
      <c r="C138" s="37"/>
    </row>
    <row r="139">
      <c r="C139" s="37"/>
    </row>
    <row r="140">
      <c r="C140" s="37"/>
    </row>
    <row r="141">
      <c r="C141" s="37"/>
    </row>
    <row r="142">
      <c r="C142" s="37"/>
    </row>
    <row r="143">
      <c r="C143" s="37"/>
    </row>
    <row r="144">
      <c r="C144" s="37"/>
    </row>
    <row r="145">
      <c r="C145" s="37"/>
    </row>
    <row r="146">
      <c r="C146" s="37"/>
    </row>
    <row r="147">
      <c r="C147" s="37"/>
    </row>
    <row r="148">
      <c r="C148" s="37"/>
    </row>
    <row r="149">
      <c r="C149" s="37"/>
    </row>
    <row r="150">
      <c r="C150" s="37"/>
    </row>
    <row r="151">
      <c r="C151" s="37"/>
    </row>
    <row r="152">
      <c r="C152" s="37"/>
    </row>
    <row r="153">
      <c r="C153" s="37"/>
    </row>
    <row r="154">
      <c r="C154" s="37"/>
    </row>
    <row r="155">
      <c r="C155" s="37"/>
    </row>
    <row r="156">
      <c r="C156" s="37"/>
    </row>
    <row r="157">
      <c r="C157" s="37"/>
    </row>
    <row r="158">
      <c r="C158" s="37"/>
    </row>
    <row r="159">
      <c r="C159" s="37"/>
    </row>
    <row r="160">
      <c r="C160" s="37"/>
    </row>
    <row r="161">
      <c r="C161" s="37"/>
    </row>
    <row r="162">
      <c r="C162" s="37"/>
    </row>
    <row r="163">
      <c r="C163" s="37"/>
    </row>
    <row r="164">
      <c r="C164" s="37"/>
    </row>
    <row r="165">
      <c r="C165" s="37"/>
    </row>
    <row r="166">
      <c r="C166" s="37"/>
    </row>
    <row r="167">
      <c r="C167" s="37"/>
    </row>
    <row r="168">
      <c r="C168" s="37"/>
    </row>
    <row r="169">
      <c r="C169" s="37"/>
    </row>
    <row r="170">
      <c r="C170" s="37"/>
    </row>
    <row r="171">
      <c r="C171" s="37"/>
    </row>
    <row r="172">
      <c r="C172" s="37"/>
    </row>
    <row r="173">
      <c r="C173" s="37"/>
    </row>
    <row r="174">
      <c r="C174" s="37"/>
    </row>
    <row r="175">
      <c r="C175" s="37"/>
    </row>
    <row r="176">
      <c r="C176" s="37"/>
    </row>
    <row r="177">
      <c r="C177" s="37"/>
    </row>
    <row r="178">
      <c r="C178" s="37"/>
    </row>
    <row r="179">
      <c r="C179" s="37"/>
    </row>
    <row r="180">
      <c r="C180" s="37"/>
    </row>
    <row r="181">
      <c r="C181" s="37"/>
    </row>
    <row r="182">
      <c r="C182" s="37"/>
    </row>
    <row r="183">
      <c r="C183" s="37"/>
    </row>
    <row r="184">
      <c r="C184" s="37"/>
    </row>
    <row r="185">
      <c r="C185" s="37"/>
    </row>
    <row r="186">
      <c r="C186" s="37"/>
    </row>
    <row r="187">
      <c r="C187" s="37"/>
    </row>
    <row r="188">
      <c r="C188" s="37"/>
    </row>
    <row r="189">
      <c r="C189" s="37"/>
    </row>
    <row r="190">
      <c r="C190" s="37"/>
    </row>
    <row r="191">
      <c r="C191" s="37"/>
    </row>
    <row r="192">
      <c r="C192" s="37"/>
    </row>
    <row r="193">
      <c r="C193" s="37"/>
    </row>
    <row r="194">
      <c r="C194" s="37"/>
    </row>
    <row r="195">
      <c r="C195" s="37"/>
    </row>
    <row r="196">
      <c r="C196" s="37"/>
    </row>
    <row r="197">
      <c r="C197" s="37"/>
    </row>
    <row r="198">
      <c r="C198" s="37"/>
    </row>
    <row r="199">
      <c r="C199" s="37"/>
    </row>
    <row r="200">
      <c r="C200" s="37"/>
    </row>
    <row r="201">
      <c r="C201" s="37"/>
    </row>
    <row r="202">
      <c r="C202" s="37"/>
    </row>
    <row r="203">
      <c r="C203" s="37"/>
    </row>
    <row r="204">
      <c r="C204" s="37"/>
    </row>
    <row r="205">
      <c r="C205" s="37"/>
    </row>
    <row r="206">
      <c r="C206" s="37"/>
    </row>
    <row r="207">
      <c r="C207" s="37"/>
    </row>
    <row r="208">
      <c r="C208" s="37"/>
    </row>
    <row r="209">
      <c r="C209" s="37"/>
    </row>
    <row r="210">
      <c r="C210" s="37"/>
    </row>
    <row r="211">
      <c r="C211" s="37"/>
    </row>
    <row r="212">
      <c r="C212" s="37"/>
    </row>
    <row r="213">
      <c r="C213" s="37"/>
    </row>
    <row r="214">
      <c r="C214" s="37"/>
    </row>
    <row r="215">
      <c r="C215" s="37"/>
    </row>
    <row r="216">
      <c r="C216" s="37"/>
    </row>
    <row r="217">
      <c r="C217" s="37"/>
    </row>
    <row r="218">
      <c r="C218" s="37"/>
    </row>
    <row r="219">
      <c r="C219" s="37"/>
    </row>
    <row r="220">
      <c r="C220" s="37"/>
    </row>
    <row r="221">
      <c r="C221" s="37"/>
    </row>
    <row r="222">
      <c r="C222" s="37"/>
    </row>
    <row r="223">
      <c r="C223" s="37"/>
    </row>
    <row r="224">
      <c r="C224" s="37"/>
    </row>
    <row r="225">
      <c r="C225" s="37"/>
    </row>
    <row r="226">
      <c r="C226" s="37"/>
    </row>
    <row r="227">
      <c r="C227" s="37"/>
    </row>
    <row r="228">
      <c r="C228" s="37"/>
    </row>
    <row r="229">
      <c r="C229" s="37"/>
    </row>
    <row r="230">
      <c r="C230" s="37"/>
    </row>
    <row r="231">
      <c r="C231" s="37"/>
    </row>
    <row r="232">
      <c r="C232" s="37"/>
    </row>
    <row r="233">
      <c r="C233" s="37"/>
    </row>
    <row r="234">
      <c r="C234" s="37"/>
    </row>
    <row r="235">
      <c r="C235" s="37"/>
    </row>
    <row r="236">
      <c r="C236" s="37"/>
    </row>
    <row r="237">
      <c r="C237" s="37"/>
    </row>
    <row r="238">
      <c r="C238" s="37"/>
    </row>
    <row r="239">
      <c r="C239" s="37"/>
    </row>
    <row r="240">
      <c r="C240" s="37"/>
    </row>
    <row r="241">
      <c r="C241" s="37"/>
    </row>
    <row r="242">
      <c r="C242" s="37"/>
    </row>
    <row r="243">
      <c r="C243" s="37"/>
    </row>
    <row r="244">
      <c r="C244" s="37"/>
    </row>
    <row r="245">
      <c r="C245" s="37"/>
    </row>
    <row r="246">
      <c r="C246" s="37"/>
    </row>
    <row r="247">
      <c r="C247" s="37"/>
    </row>
    <row r="248">
      <c r="C248" s="37"/>
    </row>
    <row r="249">
      <c r="C249" s="37"/>
    </row>
    <row r="250">
      <c r="C250" s="37"/>
    </row>
    <row r="251">
      <c r="C251" s="37"/>
    </row>
    <row r="252">
      <c r="C252" s="37"/>
    </row>
    <row r="253">
      <c r="C253" s="37"/>
    </row>
    <row r="254">
      <c r="C254" s="37"/>
    </row>
    <row r="255">
      <c r="C255" s="37"/>
    </row>
    <row r="256">
      <c r="C256" s="37"/>
    </row>
    <row r="257">
      <c r="C257" s="37"/>
    </row>
    <row r="258">
      <c r="C258" s="37"/>
    </row>
    <row r="259">
      <c r="C259" s="37"/>
    </row>
    <row r="260">
      <c r="C260" s="37"/>
    </row>
    <row r="261">
      <c r="C261" s="37"/>
    </row>
    <row r="262">
      <c r="C262" s="37"/>
    </row>
    <row r="263">
      <c r="C263" s="37"/>
    </row>
    <row r="264">
      <c r="C264" s="37"/>
    </row>
    <row r="265">
      <c r="C265" s="37"/>
    </row>
    <row r="266">
      <c r="C266" s="37"/>
    </row>
    <row r="267">
      <c r="C267" s="37"/>
    </row>
    <row r="268">
      <c r="C268" s="37"/>
    </row>
    <row r="269">
      <c r="C269" s="37"/>
    </row>
    <row r="270">
      <c r="C270" s="37"/>
    </row>
    <row r="271">
      <c r="C271" s="37"/>
    </row>
    <row r="272">
      <c r="C272" s="37"/>
    </row>
    <row r="273">
      <c r="C273" s="37"/>
    </row>
    <row r="274">
      <c r="C274" s="37"/>
    </row>
    <row r="275">
      <c r="C275" s="37"/>
    </row>
    <row r="276">
      <c r="C276" s="37"/>
    </row>
    <row r="277">
      <c r="C277" s="37"/>
    </row>
    <row r="278">
      <c r="C278" s="37"/>
    </row>
    <row r="279">
      <c r="C279" s="37"/>
    </row>
    <row r="280">
      <c r="C280" s="37"/>
    </row>
    <row r="281">
      <c r="C281" s="37"/>
    </row>
    <row r="282">
      <c r="C282" s="37"/>
    </row>
    <row r="283">
      <c r="C283" s="37"/>
    </row>
    <row r="284">
      <c r="C284" s="37"/>
    </row>
    <row r="285">
      <c r="C285" s="37"/>
    </row>
    <row r="286">
      <c r="C286" s="37"/>
    </row>
    <row r="287">
      <c r="C287" s="37"/>
    </row>
    <row r="288">
      <c r="C288" s="37"/>
    </row>
    <row r="289">
      <c r="C289" s="37"/>
    </row>
    <row r="290">
      <c r="C290" s="37"/>
    </row>
    <row r="291">
      <c r="C291" s="37"/>
    </row>
    <row r="292">
      <c r="C292" s="37"/>
    </row>
    <row r="293">
      <c r="C293" s="37"/>
    </row>
    <row r="294">
      <c r="C294" s="37"/>
    </row>
    <row r="295">
      <c r="C295" s="37"/>
    </row>
    <row r="296">
      <c r="C296" s="37"/>
    </row>
    <row r="297">
      <c r="C297" s="37"/>
    </row>
    <row r="298">
      <c r="C298" s="37"/>
    </row>
    <row r="299">
      <c r="C299" s="37"/>
    </row>
    <row r="300">
      <c r="C300" s="37"/>
    </row>
    <row r="301">
      <c r="C301" s="37"/>
    </row>
    <row r="302">
      <c r="C302" s="37"/>
    </row>
    <row r="303">
      <c r="C303" s="37"/>
    </row>
    <row r="304">
      <c r="C304" s="37"/>
    </row>
    <row r="305">
      <c r="C305" s="37"/>
    </row>
    <row r="306">
      <c r="C306" s="37"/>
    </row>
    <row r="307">
      <c r="C307" s="37"/>
    </row>
    <row r="308">
      <c r="C308" s="37"/>
    </row>
    <row r="309">
      <c r="C309" s="37"/>
    </row>
    <row r="310">
      <c r="C310" s="37"/>
    </row>
    <row r="311">
      <c r="C311" s="37"/>
    </row>
    <row r="312">
      <c r="C312" s="37"/>
    </row>
    <row r="313">
      <c r="C313" s="37"/>
    </row>
    <row r="314">
      <c r="C314" s="37"/>
    </row>
    <row r="315">
      <c r="C315" s="37"/>
    </row>
    <row r="316">
      <c r="C316" s="37"/>
    </row>
    <row r="317">
      <c r="C317" s="37"/>
    </row>
    <row r="318">
      <c r="C318" s="37"/>
    </row>
    <row r="319">
      <c r="C319" s="37"/>
    </row>
    <row r="320">
      <c r="C320" s="37"/>
    </row>
    <row r="321">
      <c r="C321" s="37"/>
    </row>
    <row r="322">
      <c r="C322" s="37"/>
    </row>
    <row r="323">
      <c r="C323" s="37"/>
    </row>
    <row r="324">
      <c r="C324" s="37"/>
    </row>
    <row r="325">
      <c r="C325" s="37"/>
    </row>
    <row r="326">
      <c r="C326" s="37"/>
    </row>
    <row r="327">
      <c r="C327" s="37"/>
    </row>
    <row r="328">
      <c r="C328" s="37"/>
    </row>
    <row r="329">
      <c r="C329" s="37"/>
    </row>
    <row r="330">
      <c r="C330" s="37"/>
    </row>
    <row r="331">
      <c r="C331" s="37"/>
    </row>
    <row r="332">
      <c r="C332" s="37"/>
    </row>
    <row r="333">
      <c r="C333" s="37"/>
    </row>
    <row r="334">
      <c r="C334" s="37"/>
    </row>
    <row r="335">
      <c r="C335" s="37"/>
    </row>
    <row r="336">
      <c r="C336" s="37"/>
    </row>
    <row r="337">
      <c r="C337" s="37"/>
    </row>
    <row r="338">
      <c r="C338" s="37"/>
    </row>
    <row r="339">
      <c r="C339" s="37"/>
    </row>
    <row r="340">
      <c r="C340" s="37"/>
    </row>
    <row r="341">
      <c r="C341" s="37"/>
    </row>
    <row r="342">
      <c r="C342" s="37"/>
    </row>
    <row r="343">
      <c r="C343" s="37"/>
    </row>
    <row r="344">
      <c r="C344" s="37"/>
    </row>
    <row r="345">
      <c r="C345" s="37"/>
    </row>
    <row r="346">
      <c r="C346" s="37"/>
    </row>
    <row r="347">
      <c r="C347" s="37"/>
    </row>
    <row r="348">
      <c r="C348" s="37"/>
    </row>
    <row r="349">
      <c r="C349" s="37"/>
    </row>
    <row r="350">
      <c r="C350" s="37"/>
    </row>
    <row r="351">
      <c r="C351" s="37"/>
    </row>
    <row r="352">
      <c r="C352" s="37"/>
    </row>
    <row r="353">
      <c r="C353" s="37"/>
    </row>
    <row r="354">
      <c r="C354" s="37"/>
    </row>
    <row r="355">
      <c r="C355" s="37"/>
    </row>
    <row r="356">
      <c r="C356" s="37"/>
    </row>
    <row r="357">
      <c r="C357" s="37"/>
    </row>
    <row r="358">
      <c r="C358" s="37"/>
    </row>
    <row r="359">
      <c r="C359" s="37"/>
    </row>
    <row r="360">
      <c r="C360" s="37"/>
    </row>
    <row r="361">
      <c r="C361" s="37"/>
    </row>
    <row r="362">
      <c r="C362" s="37"/>
    </row>
    <row r="363">
      <c r="C363" s="37"/>
    </row>
    <row r="364">
      <c r="C364" s="37"/>
    </row>
    <row r="365">
      <c r="C365" s="37"/>
    </row>
    <row r="366">
      <c r="C366" s="37"/>
    </row>
    <row r="367">
      <c r="C367" s="37"/>
    </row>
    <row r="368">
      <c r="C368" s="37"/>
    </row>
    <row r="369">
      <c r="C369" s="37"/>
    </row>
    <row r="370">
      <c r="C370" s="37"/>
    </row>
    <row r="371">
      <c r="C371" s="37"/>
    </row>
    <row r="372">
      <c r="C372" s="37"/>
    </row>
    <row r="373">
      <c r="C373" s="37"/>
    </row>
    <row r="374">
      <c r="C374" s="37"/>
    </row>
    <row r="375">
      <c r="C375" s="37"/>
    </row>
    <row r="376">
      <c r="C376" s="37"/>
    </row>
    <row r="377">
      <c r="C377" s="37"/>
    </row>
    <row r="378">
      <c r="C378" s="37"/>
    </row>
    <row r="379">
      <c r="C379" s="37"/>
    </row>
    <row r="380">
      <c r="C380" s="37"/>
    </row>
    <row r="381">
      <c r="C381" s="37"/>
    </row>
    <row r="382">
      <c r="C382" s="37"/>
    </row>
    <row r="383">
      <c r="C383" s="37"/>
    </row>
    <row r="384">
      <c r="C384" s="37"/>
    </row>
    <row r="385">
      <c r="C385" s="37"/>
    </row>
    <row r="386">
      <c r="C386" s="37"/>
    </row>
    <row r="387">
      <c r="C387" s="37"/>
    </row>
    <row r="388">
      <c r="C388" s="37"/>
    </row>
    <row r="389">
      <c r="C389" s="37"/>
    </row>
    <row r="390">
      <c r="C390" s="37"/>
    </row>
    <row r="391">
      <c r="C391" s="37"/>
    </row>
    <row r="392">
      <c r="C392" s="37"/>
    </row>
    <row r="393">
      <c r="C393" s="37"/>
    </row>
    <row r="394">
      <c r="C394" s="37"/>
    </row>
    <row r="395">
      <c r="C395" s="37"/>
    </row>
    <row r="396">
      <c r="C396" s="37"/>
    </row>
    <row r="397">
      <c r="C397" s="37"/>
    </row>
    <row r="398">
      <c r="C398" s="37"/>
    </row>
    <row r="399">
      <c r="C399" s="37"/>
    </row>
    <row r="400">
      <c r="C400" s="37"/>
    </row>
    <row r="401">
      <c r="C401" s="37"/>
    </row>
    <row r="402">
      <c r="C402" s="37"/>
    </row>
    <row r="403">
      <c r="C403" s="37"/>
    </row>
    <row r="404">
      <c r="C404" s="37"/>
    </row>
    <row r="405">
      <c r="C405" s="37"/>
    </row>
    <row r="406">
      <c r="C406" s="37"/>
    </row>
    <row r="407">
      <c r="C407" s="37"/>
    </row>
    <row r="408">
      <c r="C408" s="37"/>
    </row>
    <row r="409">
      <c r="C409" s="37"/>
    </row>
    <row r="410">
      <c r="C410" s="37"/>
    </row>
    <row r="411">
      <c r="C411" s="37"/>
    </row>
    <row r="412">
      <c r="C412" s="37"/>
    </row>
    <row r="413">
      <c r="C413" s="37"/>
    </row>
    <row r="414">
      <c r="C414" s="37"/>
    </row>
    <row r="415">
      <c r="C415" s="37"/>
    </row>
    <row r="416">
      <c r="C416" s="37"/>
    </row>
    <row r="417">
      <c r="C417" s="37"/>
    </row>
    <row r="418">
      <c r="C418" s="37"/>
    </row>
    <row r="419">
      <c r="C419" s="37"/>
    </row>
    <row r="420">
      <c r="C420" s="37"/>
    </row>
    <row r="421">
      <c r="C421" s="37"/>
    </row>
    <row r="422">
      <c r="C422" s="37"/>
    </row>
    <row r="423">
      <c r="C423" s="37"/>
    </row>
    <row r="424">
      <c r="C424" s="37"/>
    </row>
    <row r="425">
      <c r="C425" s="37"/>
    </row>
    <row r="426">
      <c r="C426" s="37"/>
    </row>
    <row r="427">
      <c r="C427" s="37"/>
    </row>
    <row r="428">
      <c r="C428" s="37"/>
    </row>
    <row r="429">
      <c r="C429" s="37"/>
    </row>
    <row r="430">
      <c r="C430" s="37"/>
    </row>
    <row r="431">
      <c r="C431" s="37"/>
    </row>
    <row r="432">
      <c r="C432" s="37"/>
    </row>
    <row r="433">
      <c r="C433" s="37"/>
    </row>
    <row r="434">
      <c r="C434" s="37"/>
    </row>
    <row r="435">
      <c r="C435" s="37"/>
    </row>
    <row r="436">
      <c r="C436" s="37"/>
    </row>
    <row r="437">
      <c r="C437" s="37"/>
    </row>
    <row r="438">
      <c r="C438" s="37"/>
    </row>
    <row r="439">
      <c r="C439" s="37"/>
    </row>
    <row r="440">
      <c r="C440" s="37"/>
    </row>
    <row r="441">
      <c r="C441" s="37"/>
    </row>
    <row r="442">
      <c r="C442" s="37"/>
    </row>
    <row r="443">
      <c r="C443" s="37"/>
    </row>
    <row r="444">
      <c r="C444" s="37"/>
    </row>
    <row r="445">
      <c r="C445" s="37"/>
    </row>
    <row r="446">
      <c r="C446" s="37"/>
    </row>
    <row r="447">
      <c r="C447" s="37"/>
    </row>
    <row r="448">
      <c r="C448" s="37"/>
    </row>
    <row r="449">
      <c r="C449" s="37"/>
    </row>
    <row r="450">
      <c r="C450" s="37"/>
    </row>
    <row r="451">
      <c r="C451" s="37"/>
    </row>
    <row r="452">
      <c r="C452" s="37"/>
    </row>
    <row r="453">
      <c r="C453" s="37"/>
    </row>
    <row r="454">
      <c r="C454" s="37"/>
    </row>
    <row r="455">
      <c r="C455" s="37"/>
    </row>
    <row r="456">
      <c r="C456" s="37"/>
    </row>
    <row r="457">
      <c r="C457" s="37"/>
    </row>
    <row r="458">
      <c r="C458" s="37"/>
    </row>
    <row r="459">
      <c r="C459" s="37"/>
    </row>
    <row r="460">
      <c r="C460" s="37"/>
    </row>
    <row r="461">
      <c r="C461" s="37"/>
    </row>
    <row r="462">
      <c r="C462" s="37"/>
    </row>
    <row r="463">
      <c r="C463" s="37"/>
    </row>
    <row r="464">
      <c r="C464" s="37"/>
    </row>
    <row r="465">
      <c r="C465" s="37"/>
    </row>
    <row r="466">
      <c r="C466" s="37"/>
    </row>
    <row r="467">
      <c r="C467" s="37"/>
    </row>
    <row r="468">
      <c r="C468" s="37"/>
    </row>
    <row r="469">
      <c r="C469" s="37"/>
    </row>
    <row r="470">
      <c r="C470" s="37"/>
    </row>
    <row r="471">
      <c r="C471" s="37"/>
    </row>
    <row r="472">
      <c r="C472" s="37"/>
    </row>
    <row r="473">
      <c r="C473" s="37"/>
    </row>
    <row r="474">
      <c r="C474" s="37"/>
    </row>
    <row r="475">
      <c r="C475" s="37"/>
    </row>
    <row r="476">
      <c r="C476" s="37"/>
    </row>
    <row r="477">
      <c r="C477" s="37"/>
    </row>
    <row r="478">
      <c r="C478" s="37"/>
    </row>
    <row r="479">
      <c r="C479" s="37"/>
    </row>
    <row r="480">
      <c r="C480" s="37"/>
    </row>
    <row r="481">
      <c r="C481" s="37"/>
    </row>
    <row r="482">
      <c r="C482" s="37"/>
    </row>
    <row r="483">
      <c r="C483" s="37"/>
    </row>
    <row r="484">
      <c r="C484" s="37"/>
    </row>
    <row r="485">
      <c r="C485" s="37"/>
    </row>
    <row r="486">
      <c r="C486" s="37"/>
    </row>
    <row r="487">
      <c r="C487" s="37"/>
    </row>
    <row r="488">
      <c r="C488" s="37"/>
    </row>
    <row r="489">
      <c r="C489" s="37"/>
    </row>
    <row r="490">
      <c r="C490" s="37"/>
    </row>
    <row r="491">
      <c r="C491" s="37"/>
    </row>
    <row r="492">
      <c r="C492" s="37"/>
    </row>
    <row r="493">
      <c r="C493" s="37"/>
    </row>
    <row r="494">
      <c r="C494" s="37"/>
    </row>
    <row r="495">
      <c r="C495" s="37"/>
    </row>
    <row r="496">
      <c r="C496" s="37"/>
    </row>
    <row r="497">
      <c r="C497" s="37"/>
    </row>
    <row r="498">
      <c r="C498" s="37"/>
    </row>
    <row r="499">
      <c r="C499" s="37"/>
    </row>
    <row r="500">
      <c r="C500" s="37"/>
    </row>
    <row r="501">
      <c r="C501" s="37"/>
    </row>
    <row r="502">
      <c r="C502" s="37"/>
    </row>
    <row r="503">
      <c r="C503" s="37"/>
    </row>
    <row r="504">
      <c r="C504" s="37"/>
    </row>
    <row r="505">
      <c r="C505" s="37"/>
    </row>
    <row r="506">
      <c r="C506" s="37"/>
    </row>
    <row r="507">
      <c r="C507" s="37"/>
    </row>
    <row r="508">
      <c r="C508" s="37"/>
    </row>
    <row r="509">
      <c r="C509" s="37"/>
    </row>
    <row r="510">
      <c r="C510" s="37"/>
    </row>
    <row r="511">
      <c r="C511" s="37"/>
    </row>
    <row r="512">
      <c r="C512" s="37"/>
    </row>
    <row r="513">
      <c r="C513" s="37"/>
    </row>
    <row r="514">
      <c r="C514" s="37"/>
    </row>
    <row r="515">
      <c r="C515" s="37"/>
    </row>
    <row r="516">
      <c r="C516" s="37"/>
    </row>
    <row r="517">
      <c r="C517" s="37"/>
    </row>
    <row r="518">
      <c r="C518" s="37"/>
    </row>
    <row r="519">
      <c r="C519" s="37"/>
    </row>
    <row r="520">
      <c r="C520" s="37"/>
    </row>
    <row r="521">
      <c r="C521" s="37"/>
    </row>
    <row r="522">
      <c r="C522" s="37"/>
    </row>
    <row r="523">
      <c r="C523" s="37"/>
    </row>
    <row r="524">
      <c r="C524" s="37"/>
    </row>
    <row r="525">
      <c r="C525" s="37"/>
    </row>
    <row r="526">
      <c r="C526" s="37"/>
    </row>
    <row r="527">
      <c r="C527" s="37"/>
    </row>
    <row r="528">
      <c r="C528" s="37"/>
    </row>
    <row r="529">
      <c r="C529" s="37"/>
    </row>
    <row r="530">
      <c r="C530" s="37"/>
    </row>
    <row r="531">
      <c r="C531" s="37"/>
    </row>
    <row r="532">
      <c r="C532" s="37"/>
    </row>
    <row r="533">
      <c r="C533" s="37"/>
    </row>
    <row r="534">
      <c r="C534" s="37"/>
    </row>
    <row r="535">
      <c r="C535" s="37"/>
    </row>
    <row r="536">
      <c r="C536" s="37"/>
    </row>
    <row r="537">
      <c r="C537" s="37"/>
    </row>
    <row r="538">
      <c r="C538" s="37"/>
    </row>
    <row r="539">
      <c r="C539" s="37"/>
    </row>
    <row r="540">
      <c r="C540" s="37"/>
    </row>
    <row r="541">
      <c r="C541" s="37"/>
    </row>
    <row r="542">
      <c r="C542" s="37"/>
    </row>
    <row r="543">
      <c r="C543" s="37"/>
    </row>
    <row r="544">
      <c r="C544" s="37"/>
    </row>
    <row r="545">
      <c r="C545" s="37"/>
    </row>
    <row r="546">
      <c r="C546" s="37"/>
    </row>
    <row r="547">
      <c r="C547" s="37"/>
    </row>
    <row r="548">
      <c r="C548" s="37"/>
    </row>
    <row r="549">
      <c r="C549" s="37"/>
    </row>
    <row r="550">
      <c r="C550" s="37"/>
    </row>
    <row r="551">
      <c r="C551" s="37"/>
    </row>
    <row r="552">
      <c r="C552" s="37"/>
    </row>
    <row r="553">
      <c r="C553" s="37"/>
    </row>
    <row r="554">
      <c r="C554" s="37"/>
    </row>
    <row r="555">
      <c r="C555" s="37"/>
    </row>
    <row r="556">
      <c r="C556" s="37"/>
    </row>
    <row r="557">
      <c r="C557" s="37"/>
    </row>
    <row r="558">
      <c r="C558" s="37"/>
    </row>
    <row r="559">
      <c r="C559" s="37"/>
    </row>
    <row r="560">
      <c r="C560" s="37"/>
    </row>
    <row r="561">
      <c r="C561" s="37"/>
    </row>
    <row r="562">
      <c r="C562" s="37"/>
    </row>
    <row r="563">
      <c r="C563" s="37"/>
    </row>
    <row r="564">
      <c r="C564" s="37"/>
    </row>
    <row r="565">
      <c r="C565" s="37"/>
    </row>
    <row r="566">
      <c r="C566" s="37"/>
    </row>
    <row r="567">
      <c r="C567" s="37"/>
    </row>
    <row r="568">
      <c r="C568" s="37"/>
    </row>
    <row r="569">
      <c r="C569" s="37"/>
    </row>
    <row r="570">
      <c r="C570" s="37"/>
    </row>
    <row r="571">
      <c r="C571" s="37"/>
    </row>
    <row r="572">
      <c r="C572" s="37"/>
    </row>
    <row r="573">
      <c r="C573" s="37"/>
    </row>
    <row r="574">
      <c r="C574" s="37"/>
    </row>
    <row r="575">
      <c r="C575" s="37"/>
    </row>
    <row r="576">
      <c r="C576" s="37"/>
    </row>
    <row r="577">
      <c r="C577" s="37"/>
    </row>
    <row r="578">
      <c r="C578" s="37"/>
    </row>
    <row r="579">
      <c r="C579" s="37"/>
    </row>
    <row r="580">
      <c r="C580" s="37"/>
    </row>
    <row r="581">
      <c r="C581" s="37"/>
    </row>
    <row r="582">
      <c r="C582" s="37"/>
    </row>
    <row r="583">
      <c r="C583" s="37"/>
    </row>
    <row r="584">
      <c r="C584" s="37"/>
    </row>
    <row r="585">
      <c r="C585" s="37"/>
    </row>
    <row r="586">
      <c r="C586" s="37"/>
    </row>
    <row r="587">
      <c r="C587" s="37"/>
    </row>
    <row r="588">
      <c r="C588" s="37"/>
    </row>
    <row r="589">
      <c r="C589" s="37"/>
    </row>
    <row r="590">
      <c r="C590" s="37"/>
    </row>
    <row r="591">
      <c r="C591" s="37"/>
    </row>
    <row r="592">
      <c r="C592" s="37"/>
    </row>
    <row r="593">
      <c r="C593" s="37"/>
    </row>
    <row r="594">
      <c r="C594" s="37"/>
    </row>
    <row r="595">
      <c r="C595" s="37"/>
    </row>
    <row r="596">
      <c r="C596" s="37"/>
    </row>
    <row r="597">
      <c r="C597" s="37"/>
    </row>
    <row r="598">
      <c r="C598" s="37"/>
    </row>
    <row r="599">
      <c r="C599" s="37"/>
    </row>
    <row r="600">
      <c r="C600" s="37"/>
    </row>
    <row r="601">
      <c r="C601" s="37"/>
    </row>
    <row r="602">
      <c r="C602" s="37"/>
    </row>
    <row r="603">
      <c r="C603" s="37"/>
    </row>
    <row r="604">
      <c r="C604" s="37"/>
    </row>
    <row r="605">
      <c r="C605" s="37"/>
    </row>
    <row r="606">
      <c r="C606" s="37"/>
    </row>
    <row r="607">
      <c r="C607" s="37"/>
    </row>
    <row r="608">
      <c r="C608" s="37"/>
    </row>
    <row r="609">
      <c r="C609" s="37"/>
    </row>
    <row r="610">
      <c r="C610" s="37"/>
    </row>
    <row r="611">
      <c r="C611" s="37"/>
    </row>
    <row r="612">
      <c r="C612" s="37"/>
    </row>
    <row r="613">
      <c r="C613" s="37"/>
    </row>
    <row r="614">
      <c r="C614" s="37"/>
    </row>
    <row r="615">
      <c r="C615" s="37"/>
    </row>
    <row r="616">
      <c r="C616" s="37"/>
    </row>
    <row r="617">
      <c r="C617" s="37"/>
    </row>
    <row r="618">
      <c r="C618" s="37"/>
    </row>
    <row r="619">
      <c r="C619" s="37"/>
    </row>
    <row r="620">
      <c r="C620" s="37"/>
    </row>
    <row r="621">
      <c r="C621" s="37"/>
    </row>
    <row r="622">
      <c r="C622" s="37"/>
    </row>
    <row r="623">
      <c r="C623" s="37"/>
    </row>
    <row r="624">
      <c r="C624" s="37"/>
    </row>
    <row r="625">
      <c r="C625" s="37"/>
    </row>
    <row r="626">
      <c r="C626" s="37"/>
    </row>
    <row r="627">
      <c r="C627" s="37"/>
    </row>
    <row r="628">
      <c r="C628" s="37"/>
    </row>
    <row r="629">
      <c r="C629" s="37"/>
    </row>
    <row r="630">
      <c r="C630" s="37"/>
    </row>
    <row r="631">
      <c r="C631" s="37"/>
    </row>
    <row r="632">
      <c r="C632" s="37"/>
    </row>
    <row r="633">
      <c r="C633" s="37"/>
    </row>
    <row r="634">
      <c r="C634" s="37"/>
    </row>
    <row r="635">
      <c r="C635" s="37"/>
    </row>
    <row r="636">
      <c r="C636" s="37"/>
    </row>
    <row r="637">
      <c r="C637" s="37"/>
    </row>
    <row r="638">
      <c r="C638" s="37"/>
    </row>
    <row r="639">
      <c r="C639" s="37"/>
    </row>
    <row r="640">
      <c r="C640" s="37"/>
    </row>
    <row r="641">
      <c r="C641" s="37"/>
    </row>
    <row r="642">
      <c r="C642" s="37"/>
    </row>
    <row r="643">
      <c r="C643" s="37"/>
    </row>
    <row r="644">
      <c r="C644" s="37"/>
    </row>
    <row r="645">
      <c r="C645" s="37"/>
    </row>
    <row r="646">
      <c r="C646" s="37"/>
    </row>
    <row r="647">
      <c r="C647" s="37"/>
    </row>
    <row r="648">
      <c r="C648" s="37"/>
    </row>
    <row r="649">
      <c r="C649" s="37"/>
    </row>
    <row r="650">
      <c r="C650" s="37"/>
    </row>
    <row r="651">
      <c r="C651" s="37"/>
    </row>
    <row r="652">
      <c r="C652" s="37"/>
    </row>
    <row r="653">
      <c r="C653" s="37"/>
    </row>
    <row r="654">
      <c r="C654" s="37"/>
    </row>
    <row r="655">
      <c r="C655" s="37"/>
    </row>
    <row r="656">
      <c r="C656" s="37"/>
    </row>
    <row r="657">
      <c r="C657" s="37"/>
    </row>
    <row r="658">
      <c r="C658" s="37"/>
    </row>
    <row r="659">
      <c r="C659" s="37"/>
    </row>
    <row r="660">
      <c r="C660" s="37"/>
    </row>
    <row r="661">
      <c r="C661" s="37"/>
    </row>
    <row r="662">
      <c r="C662" s="37"/>
    </row>
    <row r="663">
      <c r="C663" s="37"/>
    </row>
    <row r="664">
      <c r="C664" s="37"/>
    </row>
    <row r="665">
      <c r="C665" s="37"/>
    </row>
    <row r="666">
      <c r="C666" s="37"/>
    </row>
    <row r="667">
      <c r="C667" s="37"/>
    </row>
    <row r="668">
      <c r="C668" s="37"/>
    </row>
    <row r="669">
      <c r="C669" s="37"/>
    </row>
    <row r="670">
      <c r="C670" s="37"/>
    </row>
    <row r="671">
      <c r="C671" s="37"/>
    </row>
    <row r="672">
      <c r="C672" s="37"/>
    </row>
    <row r="673">
      <c r="C673" s="37"/>
    </row>
    <row r="674">
      <c r="C674" s="37"/>
    </row>
    <row r="675">
      <c r="C675" s="37"/>
    </row>
    <row r="676">
      <c r="C676" s="37"/>
    </row>
    <row r="677">
      <c r="C677" s="37"/>
    </row>
    <row r="678">
      <c r="C678" s="37"/>
    </row>
    <row r="679">
      <c r="C679" s="37"/>
    </row>
    <row r="680">
      <c r="C680" s="37"/>
    </row>
    <row r="681">
      <c r="C681" s="37"/>
    </row>
    <row r="682">
      <c r="C682" s="37"/>
    </row>
    <row r="683">
      <c r="C683" s="37"/>
    </row>
    <row r="684">
      <c r="C684" s="37"/>
    </row>
    <row r="685">
      <c r="C685" s="37"/>
    </row>
    <row r="686">
      <c r="C686" s="37"/>
    </row>
    <row r="687">
      <c r="C687" s="37"/>
    </row>
    <row r="688">
      <c r="C688" s="37"/>
    </row>
    <row r="689">
      <c r="C689" s="37"/>
    </row>
    <row r="690">
      <c r="C690" s="37"/>
    </row>
    <row r="691">
      <c r="C691" s="37"/>
    </row>
    <row r="692">
      <c r="C692" s="37"/>
    </row>
    <row r="693">
      <c r="C693" s="37"/>
    </row>
    <row r="694">
      <c r="C694" s="37"/>
    </row>
    <row r="695">
      <c r="C695" s="37"/>
    </row>
    <row r="696">
      <c r="C696" s="37"/>
    </row>
    <row r="697">
      <c r="C697" s="37"/>
    </row>
    <row r="698">
      <c r="C698" s="37"/>
    </row>
    <row r="699">
      <c r="C699" s="37"/>
    </row>
    <row r="700">
      <c r="C700" s="37"/>
    </row>
    <row r="701">
      <c r="C701" s="37"/>
    </row>
    <row r="702">
      <c r="C702" s="37"/>
    </row>
    <row r="703">
      <c r="C703" s="37"/>
    </row>
    <row r="704">
      <c r="C704" s="37"/>
    </row>
    <row r="705">
      <c r="C705" s="37"/>
    </row>
    <row r="706">
      <c r="C706" s="37"/>
    </row>
    <row r="707">
      <c r="C707" s="37"/>
    </row>
    <row r="708">
      <c r="C708" s="37"/>
    </row>
    <row r="709">
      <c r="C709" s="37"/>
    </row>
    <row r="710">
      <c r="C710" s="37"/>
    </row>
    <row r="711">
      <c r="C711" s="37"/>
    </row>
    <row r="712">
      <c r="C712" s="37"/>
    </row>
    <row r="713">
      <c r="C713" s="37"/>
    </row>
    <row r="714">
      <c r="C714" s="37"/>
    </row>
    <row r="715">
      <c r="C715" s="37"/>
    </row>
    <row r="716">
      <c r="C716" s="37"/>
    </row>
    <row r="717">
      <c r="C717" s="37"/>
    </row>
    <row r="718">
      <c r="C718" s="37"/>
    </row>
    <row r="719">
      <c r="C719" s="37"/>
    </row>
    <row r="720">
      <c r="C720" s="37"/>
    </row>
    <row r="721">
      <c r="C721" s="37"/>
    </row>
    <row r="722">
      <c r="C722" s="37"/>
    </row>
    <row r="723">
      <c r="C723" s="37"/>
    </row>
    <row r="724">
      <c r="C724" s="37"/>
    </row>
    <row r="725">
      <c r="C725" s="37"/>
    </row>
    <row r="726">
      <c r="C726" s="37"/>
    </row>
    <row r="727">
      <c r="C727" s="37"/>
    </row>
    <row r="728">
      <c r="C728" s="37"/>
    </row>
    <row r="729">
      <c r="C729" s="37"/>
    </row>
    <row r="730">
      <c r="C730" s="37"/>
    </row>
    <row r="731">
      <c r="C731" s="37"/>
    </row>
    <row r="732">
      <c r="C732" s="37"/>
    </row>
    <row r="733">
      <c r="C733" s="37"/>
    </row>
    <row r="734">
      <c r="C734" s="37"/>
    </row>
    <row r="735">
      <c r="C735" s="37"/>
    </row>
    <row r="736">
      <c r="C736" s="37"/>
    </row>
    <row r="737">
      <c r="C737" s="37"/>
    </row>
    <row r="738">
      <c r="C738" s="37"/>
    </row>
    <row r="739">
      <c r="C739" s="37"/>
    </row>
    <row r="740">
      <c r="C740" s="37"/>
    </row>
    <row r="741">
      <c r="C741" s="37"/>
    </row>
    <row r="742">
      <c r="C742" s="37"/>
    </row>
    <row r="743">
      <c r="C743" s="37"/>
    </row>
    <row r="744">
      <c r="C744" s="37"/>
    </row>
    <row r="745">
      <c r="C745" s="37"/>
    </row>
    <row r="746">
      <c r="C746" s="37"/>
    </row>
    <row r="747">
      <c r="C747" s="37"/>
    </row>
    <row r="748">
      <c r="C748" s="37"/>
    </row>
    <row r="749">
      <c r="C749" s="37"/>
    </row>
    <row r="750">
      <c r="C750" s="37"/>
    </row>
    <row r="751">
      <c r="C751" s="37"/>
    </row>
    <row r="752">
      <c r="C752" s="37"/>
    </row>
    <row r="753">
      <c r="C753" s="37"/>
    </row>
    <row r="754">
      <c r="C754" s="37"/>
    </row>
    <row r="755">
      <c r="C755" s="37"/>
    </row>
    <row r="756">
      <c r="C756" s="37"/>
    </row>
    <row r="757">
      <c r="C757" s="37"/>
    </row>
    <row r="758">
      <c r="C758" s="37"/>
    </row>
    <row r="759">
      <c r="C759" s="37"/>
    </row>
    <row r="760">
      <c r="C760" s="37"/>
    </row>
    <row r="761">
      <c r="C761" s="37"/>
    </row>
    <row r="762">
      <c r="C762" s="37"/>
    </row>
    <row r="763">
      <c r="C763" s="37"/>
    </row>
    <row r="764">
      <c r="C764" s="37"/>
    </row>
    <row r="765">
      <c r="C765" s="37"/>
    </row>
    <row r="766">
      <c r="C766" s="37"/>
    </row>
    <row r="767">
      <c r="C767" s="37"/>
    </row>
    <row r="768">
      <c r="C768" s="37"/>
    </row>
    <row r="769">
      <c r="C769" s="37"/>
    </row>
    <row r="770">
      <c r="C770" s="37"/>
    </row>
    <row r="771">
      <c r="C771" s="37"/>
    </row>
    <row r="772">
      <c r="C772" s="37"/>
    </row>
    <row r="773">
      <c r="C773" s="37"/>
    </row>
    <row r="774">
      <c r="C774" s="37"/>
    </row>
    <row r="775">
      <c r="C775" s="37"/>
    </row>
    <row r="776">
      <c r="C776" s="37"/>
    </row>
    <row r="777">
      <c r="C777" s="37"/>
    </row>
    <row r="778">
      <c r="C778" s="37"/>
    </row>
    <row r="779">
      <c r="C779" s="37"/>
    </row>
    <row r="780">
      <c r="C780" s="37"/>
    </row>
    <row r="781">
      <c r="C781" s="37"/>
    </row>
    <row r="782">
      <c r="C782" s="37"/>
    </row>
    <row r="783">
      <c r="C783" s="37"/>
    </row>
    <row r="784">
      <c r="C784" s="37"/>
    </row>
    <row r="785">
      <c r="C785" s="37"/>
    </row>
    <row r="786">
      <c r="C786" s="37"/>
    </row>
    <row r="787">
      <c r="C787" s="37"/>
    </row>
    <row r="788">
      <c r="C788" s="37"/>
    </row>
    <row r="789">
      <c r="C789" s="37"/>
    </row>
    <row r="790">
      <c r="C790" s="37"/>
    </row>
    <row r="791">
      <c r="C791" s="37"/>
    </row>
    <row r="792">
      <c r="C792" s="37"/>
    </row>
    <row r="793">
      <c r="C793" s="37"/>
    </row>
    <row r="794">
      <c r="C794" s="37"/>
    </row>
    <row r="795">
      <c r="C795" s="37"/>
    </row>
    <row r="796">
      <c r="C796" s="37"/>
    </row>
    <row r="797">
      <c r="C797" s="37"/>
    </row>
    <row r="798">
      <c r="C798" s="37"/>
    </row>
    <row r="799">
      <c r="C799" s="37"/>
    </row>
    <row r="800">
      <c r="C800" s="37"/>
    </row>
    <row r="801">
      <c r="C801" s="37"/>
    </row>
    <row r="802">
      <c r="C802" s="37"/>
    </row>
    <row r="803">
      <c r="C803" s="37"/>
    </row>
    <row r="804">
      <c r="C804" s="37"/>
    </row>
    <row r="805">
      <c r="C805" s="37"/>
    </row>
    <row r="806">
      <c r="C806" s="37"/>
    </row>
    <row r="807">
      <c r="C807" s="37"/>
    </row>
    <row r="808">
      <c r="C808" s="37"/>
    </row>
    <row r="809">
      <c r="C809" s="37"/>
    </row>
    <row r="810">
      <c r="C810" s="37"/>
    </row>
    <row r="811">
      <c r="C811" s="37"/>
    </row>
    <row r="812">
      <c r="C812" s="37"/>
    </row>
    <row r="813">
      <c r="C813" s="37"/>
    </row>
    <row r="814">
      <c r="C814" s="37"/>
    </row>
    <row r="815">
      <c r="C815" s="37"/>
    </row>
    <row r="816">
      <c r="C816" s="37"/>
    </row>
    <row r="817">
      <c r="C817" s="37"/>
    </row>
    <row r="818">
      <c r="C818" s="37"/>
    </row>
    <row r="819">
      <c r="C819" s="37"/>
    </row>
    <row r="820">
      <c r="C820" s="37"/>
    </row>
    <row r="821">
      <c r="C821" s="37"/>
    </row>
    <row r="822">
      <c r="C822" s="37"/>
    </row>
    <row r="823">
      <c r="C823" s="37"/>
    </row>
    <row r="824">
      <c r="C824" s="37"/>
    </row>
    <row r="825">
      <c r="C825" s="37"/>
    </row>
    <row r="826">
      <c r="C826" s="37"/>
    </row>
    <row r="827">
      <c r="C827" s="37"/>
    </row>
    <row r="828">
      <c r="C828" s="37"/>
    </row>
    <row r="829">
      <c r="C829" s="37"/>
    </row>
    <row r="830">
      <c r="C830" s="37"/>
    </row>
    <row r="831">
      <c r="C831" s="37"/>
    </row>
    <row r="832">
      <c r="C832" s="37"/>
    </row>
    <row r="833">
      <c r="C833" s="37"/>
    </row>
    <row r="834">
      <c r="C834" s="37"/>
    </row>
    <row r="835">
      <c r="C835" s="37"/>
    </row>
    <row r="836">
      <c r="C836" s="37"/>
    </row>
    <row r="837">
      <c r="C837" s="37"/>
    </row>
    <row r="838">
      <c r="C838" s="37"/>
    </row>
    <row r="839">
      <c r="C839" s="37"/>
    </row>
    <row r="840">
      <c r="C840" s="37"/>
    </row>
    <row r="841">
      <c r="C841" s="37"/>
    </row>
    <row r="842">
      <c r="C842" s="37"/>
    </row>
    <row r="843">
      <c r="C843" s="37"/>
    </row>
    <row r="844">
      <c r="C844" s="37"/>
    </row>
    <row r="845">
      <c r="C845" s="37"/>
    </row>
    <row r="846">
      <c r="C846" s="37"/>
    </row>
    <row r="847">
      <c r="C847" s="37"/>
    </row>
    <row r="848">
      <c r="C848" s="37"/>
    </row>
    <row r="849">
      <c r="C849" s="37"/>
    </row>
    <row r="850">
      <c r="C850" s="37"/>
    </row>
    <row r="851">
      <c r="C851" s="37"/>
    </row>
    <row r="852">
      <c r="C852" s="37"/>
    </row>
    <row r="853">
      <c r="C853" s="37"/>
    </row>
    <row r="854">
      <c r="C854" s="37"/>
    </row>
    <row r="855">
      <c r="C855" s="37"/>
    </row>
    <row r="856">
      <c r="C856" s="37"/>
    </row>
    <row r="857">
      <c r="C857" s="37"/>
    </row>
    <row r="858">
      <c r="C858" s="37"/>
    </row>
    <row r="859">
      <c r="C859" s="37"/>
    </row>
    <row r="860">
      <c r="C860" s="37"/>
    </row>
    <row r="861">
      <c r="C861" s="37"/>
    </row>
    <row r="862">
      <c r="C862" s="37"/>
    </row>
    <row r="863">
      <c r="C863" s="37"/>
    </row>
    <row r="864">
      <c r="C864" s="37"/>
    </row>
    <row r="865">
      <c r="C865" s="37"/>
    </row>
    <row r="866">
      <c r="C866" s="37"/>
    </row>
    <row r="867">
      <c r="C867" s="37"/>
    </row>
    <row r="868">
      <c r="C868" s="37"/>
    </row>
    <row r="869">
      <c r="C869" s="37"/>
    </row>
    <row r="870">
      <c r="C870" s="37"/>
    </row>
    <row r="871">
      <c r="C871" s="37"/>
    </row>
    <row r="872">
      <c r="C872" s="37"/>
    </row>
    <row r="873">
      <c r="C873" s="37"/>
    </row>
    <row r="874">
      <c r="C874" s="37"/>
    </row>
    <row r="875">
      <c r="C875" s="37"/>
    </row>
    <row r="876">
      <c r="C876" s="37"/>
    </row>
    <row r="877">
      <c r="C877" s="37"/>
    </row>
    <row r="878">
      <c r="C878" s="37"/>
    </row>
    <row r="879">
      <c r="C879" s="37"/>
    </row>
    <row r="880">
      <c r="C880" s="37"/>
    </row>
    <row r="881">
      <c r="C881" s="37"/>
    </row>
    <row r="882">
      <c r="C882" s="37"/>
    </row>
    <row r="883">
      <c r="C883" s="37"/>
    </row>
    <row r="884">
      <c r="C884" s="37"/>
    </row>
    <row r="885">
      <c r="C885" s="37"/>
    </row>
    <row r="886">
      <c r="C886" s="37"/>
    </row>
    <row r="887">
      <c r="C887" s="37"/>
    </row>
    <row r="888">
      <c r="C888" s="37"/>
    </row>
    <row r="889">
      <c r="C889" s="37"/>
    </row>
    <row r="890">
      <c r="C890" s="37"/>
    </row>
    <row r="891">
      <c r="C891" s="37"/>
    </row>
    <row r="892">
      <c r="C892" s="37"/>
    </row>
    <row r="893">
      <c r="C893" s="37"/>
    </row>
    <row r="894">
      <c r="C894" s="37"/>
    </row>
    <row r="895">
      <c r="C895" s="37"/>
    </row>
    <row r="896">
      <c r="C896" s="37"/>
    </row>
    <row r="897">
      <c r="C897" s="37"/>
    </row>
    <row r="898">
      <c r="C898" s="37"/>
    </row>
    <row r="899">
      <c r="C899" s="37"/>
    </row>
    <row r="900">
      <c r="C900" s="37"/>
    </row>
    <row r="901">
      <c r="C901" s="37"/>
    </row>
    <row r="902">
      <c r="C902" s="37"/>
    </row>
    <row r="903">
      <c r="C903" s="37"/>
    </row>
    <row r="904">
      <c r="C904" s="37"/>
    </row>
    <row r="905">
      <c r="C905" s="37"/>
    </row>
    <row r="906">
      <c r="C906" s="37"/>
    </row>
    <row r="907">
      <c r="C907" s="37"/>
    </row>
    <row r="908">
      <c r="C908" s="37"/>
    </row>
    <row r="909">
      <c r="C909" s="37"/>
    </row>
    <row r="910">
      <c r="C910" s="37"/>
    </row>
    <row r="911">
      <c r="C911" s="37"/>
    </row>
    <row r="912">
      <c r="C912" s="37"/>
    </row>
    <row r="913">
      <c r="C913" s="37"/>
    </row>
    <row r="914">
      <c r="C914" s="37"/>
    </row>
    <row r="915">
      <c r="C915" s="37"/>
    </row>
    <row r="916">
      <c r="C916" s="37"/>
    </row>
    <row r="917">
      <c r="C917" s="37"/>
    </row>
    <row r="918">
      <c r="C918" s="37"/>
    </row>
    <row r="919">
      <c r="C919" s="37"/>
    </row>
    <row r="920">
      <c r="C920" s="37"/>
    </row>
    <row r="921">
      <c r="C921" s="37"/>
    </row>
    <row r="922">
      <c r="C922" s="37"/>
    </row>
    <row r="923">
      <c r="C923" s="37"/>
    </row>
    <row r="924">
      <c r="C924" s="37"/>
    </row>
    <row r="925">
      <c r="C925" s="37"/>
    </row>
    <row r="926">
      <c r="C926" s="37"/>
    </row>
    <row r="927">
      <c r="C927" s="37"/>
    </row>
    <row r="928">
      <c r="C928" s="37"/>
    </row>
    <row r="929">
      <c r="C929" s="37"/>
    </row>
    <row r="930">
      <c r="C930" s="37"/>
    </row>
    <row r="931">
      <c r="C931" s="37"/>
    </row>
    <row r="932">
      <c r="C932" s="37"/>
    </row>
    <row r="933">
      <c r="C933" s="37"/>
    </row>
    <row r="934">
      <c r="C934" s="37"/>
    </row>
    <row r="935">
      <c r="C935" s="37"/>
    </row>
    <row r="936">
      <c r="C936" s="37"/>
    </row>
    <row r="937">
      <c r="C937" s="37"/>
    </row>
    <row r="938">
      <c r="C938" s="37"/>
    </row>
    <row r="939">
      <c r="C939" s="37"/>
    </row>
    <row r="940">
      <c r="C940" s="37"/>
    </row>
    <row r="941">
      <c r="C941" s="37"/>
    </row>
    <row r="942">
      <c r="C942" s="37"/>
    </row>
    <row r="943">
      <c r="C943" s="37"/>
    </row>
    <row r="944">
      <c r="C944" s="37"/>
    </row>
    <row r="945">
      <c r="C945" s="37"/>
    </row>
    <row r="946">
      <c r="C946" s="37"/>
    </row>
    <row r="947">
      <c r="C947" s="37"/>
    </row>
    <row r="948">
      <c r="C948" s="37"/>
    </row>
    <row r="949">
      <c r="C949" s="37"/>
    </row>
    <row r="950">
      <c r="C950" s="37"/>
    </row>
    <row r="951">
      <c r="C951" s="37"/>
    </row>
    <row r="952">
      <c r="C952" s="37"/>
    </row>
    <row r="953">
      <c r="C953" s="37"/>
    </row>
    <row r="954">
      <c r="C954" s="37"/>
    </row>
    <row r="955">
      <c r="C955" s="37"/>
    </row>
    <row r="956">
      <c r="C956" s="37"/>
    </row>
    <row r="957">
      <c r="C957" s="37"/>
    </row>
    <row r="958">
      <c r="C958" s="37"/>
    </row>
    <row r="959">
      <c r="C959" s="37"/>
    </row>
    <row r="960">
      <c r="C960" s="37"/>
    </row>
    <row r="961">
      <c r="C961" s="37"/>
    </row>
    <row r="962">
      <c r="C962" s="37"/>
    </row>
    <row r="963">
      <c r="C963" s="37"/>
    </row>
    <row r="964">
      <c r="C964" s="37"/>
    </row>
    <row r="965">
      <c r="C965" s="37"/>
    </row>
    <row r="966">
      <c r="C966" s="37"/>
    </row>
    <row r="967">
      <c r="C967" s="37"/>
    </row>
    <row r="968">
      <c r="C968" s="37"/>
    </row>
    <row r="969">
      <c r="C969" s="37"/>
    </row>
    <row r="970">
      <c r="C970" s="37"/>
    </row>
    <row r="971">
      <c r="C971" s="37"/>
    </row>
    <row r="972">
      <c r="C972" s="37"/>
    </row>
    <row r="973">
      <c r="C973" s="37"/>
    </row>
    <row r="974">
      <c r="C974" s="37"/>
    </row>
    <row r="975">
      <c r="C975" s="37"/>
    </row>
    <row r="976">
      <c r="C976" s="37"/>
    </row>
    <row r="977">
      <c r="C977" s="37"/>
    </row>
    <row r="978">
      <c r="C978" s="37"/>
    </row>
    <row r="979">
      <c r="C979" s="37"/>
    </row>
    <row r="980">
      <c r="C980" s="37"/>
    </row>
    <row r="981">
      <c r="C981" s="37"/>
    </row>
    <row r="982">
      <c r="C982" s="37"/>
    </row>
    <row r="983">
      <c r="C983" s="37"/>
    </row>
    <row r="984">
      <c r="C984" s="37"/>
    </row>
    <row r="985">
      <c r="C985" s="37"/>
    </row>
    <row r="986">
      <c r="C986" s="37"/>
    </row>
    <row r="987">
      <c r="C987" s="37"/>
    </row>
    <row r="988">
      <c r="C988" s="37"/>
    </row>
    <row r="989">
      <c r="C989" s="37"/>
    </row>
    <row r="990">
      <c r="C990" s="37"/>
    </row>
    <row r="991">
      <c r="C991" s="37"/>
    </row>
    <row r="992">
      <c r="C992" s="37"/>
    </row>
    <row r="993">
      <c r="C993" s="37"/>
    </row>
    <row r="994">
      <c r="C994" s="37"/>
    </row>
    <row r="995">
      <c r="C995" s="37"/>
    </row>
    <row r="996">
      <c r="C996" s="37"/>
    </row>
    <row r="997">
      <c r="C997" s="37"/>
    </row>
    <row r="998">
      <c r="C998" s="37"/>
    </row>
    <row r="999">
      <c r="C999" s="37"/>
    </row>
    <row r="1000">
      <c r="C1000" s="37"/>
    </row>
    <row r="1001">
      <c r="C1001" s="37"/>
    </row>
    <row r="1002">
      <c r="C1002" s="37"/>
    </row>
    <row r="1003">
      <c r="C1003" s="37"/>
    </row>
    <row r="1004">
      <c r="C1004" s="37"/>
    </row>
    <row r="1005">
      <c r="C1005" s="37"/>
    </row>
    <row r="1006">
      <c r="C1006" s="37"/>
    </row>
    <row r="1007">
      <c r="C1007" s="37"/>
    </row>
    <row r="1008">
      <c r="C1008" s="37"/>
    </row>
    <row r="1009">
      <c r="C1009" s="37"/>
    </row>
    <row r="1010">
      <c r="C1010" s="37"/>
    </row>
    <row r="1011">
      <c r="C1011" s="37"/>
    </row>
    <row r="1012">
      <c r="C1012" s="37"/>
    </row>
    <row r="1013">
      <c r="C1013" s="37"/>
    </row>
    <row r="1014">
      <c r="C1014" s="37"/>
    </row>
    <row r="1015">
      <c r="C1015" s="37"/>
    </row>
    <row r="1016">
      <c r="C1016" s="37"/>
    </row>
    <row r="1017">
      <c r="C1017" s="37"/>
    </row>
    <row r="1018">
      <c r="C1018" s="37"/>
    </row>
    <row r="1019">
      <c r="C1019" s="37"/>
    </row>
    <row r="1020">
      <c r="C1020" s="37"/>
    </row>
    <row r="1021">
      <c r="C1021" s="37"/>
    </row>
    <row r="1022">
      <c r="C1022" s="37"/>
    </row>
    <row r="1023">
      <c r="C1023" s="37"/>
    </row>
    <row r="1024">
      <c r="C1024" s="37"/>
    </row>
    <row r="1025">
      <c r="C1025" s="37"/>
    </row>
    <row r="1026">
      <c r="C1026" s="37"/>
    </row>
    <row r="1027">
      <c r="C1027" s="37"/>
    </row>
    <row r="1028">
      <c r="C1028" s="37"/>
    </row>
    <row r="1029">
      <c r="C1029" s="37"/>
    </row>
    <row r="1030">
      <c r="C1030" s="37"/>
    </row>
    <row r="1031">
      <c r="C1031" s="37"/>
    </row>
    <row r="1032">
      <c r="C1032" s="37"/>
    </row>
    <row r="1033">
      <c r="C1033" s="37"/>
    </row>
    <row r="1034">
      <c r="C1034" s="37"/>
    </row>
    <row r="1035">
      <c r="C1035" s="37"/>
    </row>
    <row r="1036">
      <c r="C1036" s="37"/>
    </row>
    <row r="1037">
      <c r="C1037" s="37"/>
    </row>
    <row r="1038">
      <c r="C1038" s="37"/>
    </row>
    <row r="1039">
      <c r="C1039" s="37"/>
    </row>
    <row r="1040">
      <c r="C1040" s="37"/>
    </row>
    <row r="1041">
      <c r="C1041" s="37"/>
    </row>
  </sheetData>
  <drawing r:id="rId1"/>
</worksheet>
</file>